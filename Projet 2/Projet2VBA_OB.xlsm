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18" codeName="{05B29A9F-346A-7FFF-B2FF-C74D77280CB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BDALLAH\Desktop\"/>
    </mc:Choice>
  </mc:AlternateContent>
  <xr:revisionPtr revIDLastSave="0" documentId="13_ncr:1_{232F3CF4-9E73-4076-A006-A97E86E9C045}" xr6:coauthVersionLast="45" xr6:coauthVersionMax="45" xr10:uidLastSave="{00000000-0000-0000-0000-000000000000}"/>
  <bookViews>
    <workbookView xWindow="-120" yWindow="-120" windowWidth="20730" windowHeight="11760" tabRatio="717" xr2:uid="{658518AB-CACE-4757-B712-0782D9BA3A13}"/>
  </bookViews>
  <sheets>
    <sheet name="données" sheetId="1" r:id="rId1"/>
    <sheet name="Resultat" sheetId="6" state="hidden" r:id="rId2"/>
    <sheet name="Sexe" sheetId="7" state="hidden" r:id="rId3"/>
    <sheet name="TestGr" sheetId="8" state="hidden" r:id="rId4"/>
    <sheet name="Bastrait" sheetId="9" state="hidden" r:id="rId5"/>
    <sheet name="GEpaisse" sheetId="10" state="hidden" r:id="rId6"/>
    <sheet name="Intensite" sheetId="11" state="hidden" r:id="rId7"/>
    <sheet name="Gravite" sheetId="12" state="hidden" r:id="rId8"/>
    <sheet name="Evennement" sheetId="13" state="hidden" r:id="rId9"/>
    <sheet name="Developpement" sheetId="14" state="hidden" r:id="rId10"/>
    <sheet name="Relation" sheetId="15" state="hidden" r:id="rId11"/>
    <sheet name="Action" sheetId="16" state="hidden" r:id="rId12"/>
    <sheet name="Spotsang" sheetId="17" state="hidden" r:id="rId13"/>
    <sheet name="graphes" sheetId="2" state="hidden" r:id="rId14"/>
    <sheet name="secteur" sheetId="18" state="hidden" r:id="rId15"/>
    <sheet name="baton" sheetId="19" state="hidden" r:id="rId16"/>
    <sheet name="nuage" sheetId="20" state="hidden" r:id="rId17"/>
  </sheets>
  <functionGroups builtInGroupCount="19"/>
  <externalReferences>
    <externalReference r:id="rId18"/>
  </externalReferences>
  <definedNames>
    <definedName name="donnee">graphes!$A$2:$V$101</definedName>
    <definedName name="donnees">données!$A$2:$T$104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U44" i="1"/>
  <c r="U33" i="1"/>
  <c r="U57" i="1"/>
  <c r="U14" i="1"/>
  <c r="U59" i="1"/>
  <c r="U77" i="1"/>
  <c r="U48" i="1"/>
  <c r="U5" i="1"/>
  <c r="U21" i="1"/>
  <c r="U27" i="1"/>
  <c r="U68" i="1"/>
  <c r="U16" i="1"/>
  <c r="U96" i="1"/>
  <c r="U102" i="1"/>
  <c r="U26" i="1"/>
  <c r="U62" i="1"/>
  <c r="U60" i="1"/>
  <c r="U11" i="1"/>
  <c r="U81" i="1"/>
  <c r="U22" i="1"/>
  <c r="U100" i="1"/>
  <c r="U67" i="1"/>
  <c r="U4" i="1"/>
  <c r="U84" i="1"/>
  <c r="U31" i="1"/>
  <c r="U12" i="1"/>
  <c r="U101" i="1"/>
  <c r="U46" i="1"/>
  <c r="U98" i="1"/>
  <c r="U17" i="1"/>
  <c r="U73" i="1"/>
  <c r="U85" i="1"/>
  <c r="U13" i="1"/>
  <c r="U61" i="1"/>
  <c r="U8" i="1"/>
  <c r="U54" i="1"/>
  <c r="U64" i="1"/>
  <c r="U66" i="1"/>
  <c r="U69" i="1"/>
  <c r="U86" i="1"/>
  <c r="U42" i="1"/>
  <c r="U34" i="1"/>
  <c r="U23" i="1"/>
  <c r="U52" i="1"/>
  <c r="U55" i="1"/>
  <c r="U47" i="1"/>
  <c r="U97" i="1"/>
  <c r="U99" i="1"/>
  <c r="U7" i="1"/>
  <c r="U28" i="1"/>
  <c r="U95" i="1"/>
  <c r="U41" i="1"/>
  <c r="U91" i="1"/>
  <c r="U56" i="1"/>
  <c r="U72" i="1"/>
  <c r="U65" i="1"/>
  <c r="U15" i="1"/>
  <c r="U9" i="1"/>
  <c r="U25" i="1"/>
  <c r="U76" i="1"/>
  <c r="U70" i="1"/>
  <c r="U79" i="1"/>
  <c r="U49" i="1"/>
  <c r="U92" i="1"/>
  <c r="U58" i="1"/>
  <c r="U32" i="1"/>
  <c r="U80" i="1"/>
  <c r="U20" i="1"/>
  <c r="U2" i="1"/>
  <c r="U10" i="1"/>
  <c r="U40" i="1"/>
  <c r="U3" i="1"/>
  <c r="U36" i="1"/>
  <c r="U37" i="1"/>
  <c r="U29" i="1"/>
  <c r="U71" i="1"/>
  <c r="U82" i="1"/>
  <c r="U51" i="1"/>
  <c r="U74" i="1"/>
  <c r="U94" i="1"/>
  <c r="U89" i="1"/>
  <c r="U35" i="1"/>
  <c r="U30" i="1"/>
  <c r="U83" i="1"/>
  <c r="U43" i="1"/>
  <c r="U38" i="1"/>
  <c r="U19" i="1"/>
  <c r="U88" i="1"/>
  <c r="U45" i="1"/>
  <c r="U90" i="1"/>
  <c r="U87" i="1"/>
  <c r="U103" i="1"/>
  <c r="U53" i="1"/>
  <c r="U18" i="1"/>
  <c r="U24" i="1"/>
  <c r="U78" i="1"/>
  <c r="U39" i="1"/>
  <c r="U75" i="1"/>
  <c r="U6" i="1"/>
  <c r="U93" i="1"/>
  <c r="U50" i="1"/>
  <c r="U63" i="1"/>
  <c r="U104" i="1"/>
  <c r="A100" i="1" l="1"/>
  <c r="A101" i="1" s="1"/>
  <c r="AH3" i="2"/>
  <c r="AH2" i="2"/>
  <c r="AJ2" i="2"/>
  <c r="A3" i="2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A62" i="2" s="1"/>
  <c r="A63" i="2" s="1"/>
  <c r="A64" i="2" s="1"/>
  <c r="A65" i="2" s="1"/>
  <c r="A66" i="2" s="1"/>
  <c r="A67" i="2" s="1"/>
  <c r="A68" i="2" s="1"/>
  <c r="A69" i="2" s="1"/>
  <c r="A70" i="2" s="1"/>
  <c r="A71" i="2" s="1"/>
  <c r="A72" i="2" s="1"/>
  <c r="A73" i="2" s="1"/>
  <c r="A74" i="2" s="1"/>
  <c r="A75" i="2" s="1"/>
  <c r="A76" i="2" s="1"/>
  <c r="A77" i="2" s="1"/>
  <c r="A78" i="2" s="1"/>
  <c r="A79" i="2" s="1"/>
  <c r="A80" i="2" s="1"/>
  <c r="A81" i="2" s="1"/>
  <c r="A82" i="2" s="1"/>
  <c r="A83" i="2" s="1"/>
  <c r="A84" i="2" s="1"/>
  <c r="A85" i="2" s="1"/>
  <c r="A86" i="2" s="1"/>
  <c r="A87" i="2" s="1"/>
  <c r="A88" i="2" s="1"/>
  <c r="A89" i="2" s="1"/>
  <c r="A90" i="2" s="1"/>
  <c r="A91" i="2" s="1"/>
  <c r="A92" i="2" s="1"/>
  <c r="A93" i="2" s="1"/>
  <c r="A94" i="2" s="1"/>
  <c r="A95" i="2" s="1"/>
  <c r="A96" i="2" s="1"/>
  <c r="A97" i="2" s="1"/>
  <c r="A98" i="2" s="1"/>
  <c r="A99" i="2" s="1"/>
  <c r="A100" i="2" s="1"/>
  <c r="A101" i="2" s="1"/>
  <c r="AJ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4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0" i="2"/>
  <c r="AJ91" i="2"/>
  <c r="AJ92" i="2"/>
  <c r="AJ93" i="2"/>
  <c r="AJ94" i="2"/>
  <c r="AJ95" i="2"/>
  <c r="AJ96" i="2"/>
  <c r="AJ97" i="2"/>
  <c r="AJ98" i="2"/>
  <c r="AJ99" i="2"/>
  <c r="AJ100" i="2"/>
  <c r="AJ101" i="2"/>
  <c r="AH30" i="2"/>
  <c r="AH29" i="2"/>
  <c r="AH28" i="2"/>
  <c r="AH27" i="2"/>
  <c r="AH26" i="2"/>
  <c r="AH23" i="2"/>
  <c r="AH22" i="2"/>
  <c r="AH21" i="2"/>
  <c r="AH20" i="2"/>
  <c r="AH19" i="2"/>
  <c r="AH18" i="2"/>
  <c r="AH17" i="2"/>
  <c r="AH16" i="2"/>
  <c r="AH15" i="2"/>
  <c r="AH14" i="2"/>
  <c r="AH13" i="2"/>
  <c r="AH12" i="2"/>
  <c r="AH11" i="2"/>
  <c r="AH10" i="2"/>
  <c r="AH9" i="2"/>
  <c r="AH8" i="2"/>
  <c r="AH7" i="2"/>
  <c r="AH6" i="2"/>
  <c r="AH5" i="2"/>
  <c r="AH4" i="2"/>
  <c r="U20" i="2"/>
  <c r="U35" i="2"/>
  <c r="U98" i="2"/>
  <c r="U34" i="2"/>
  <c r="U78" i="2"/>
  <c r="U63" i="2"/>
  <c r="U57" i="2"/>
  <c r="U71" i="2"/>
  <c r="U80" i="2"/>
  <c r="U29" i="2"/>
  <c r="U5" i="2"/>
  <c r="U19" i="2"/>
  <c r="U21" i="2"/>
  <c r="U31" i="2"/>
  <c r="U69" i="2"/>
  <c r="U76" i="2"/>
  <c r="U84" i="2"/>
  <c r="U60" i="2"/>
  <c r="U102" i="2"/>
  <c r="U40" i="2"/>
  <c r="U82" i="2"/>
  <c r="U65" i="2"/>
  <c r="U70" i="2"/>
  <c r="U15" i="2"/>
  <c r="U2" i="2"/>
  <c r="U10" i="2"/>
  <c r="U41" i="2"/>
  <c r="U91" i="2"/>
  <c r="U95" i="2"/>
  <c r="U55" i="2"/>
  <c r="U18" i="2"/>
  <c r="U67" i="2"/>
  <c r="U85" i="2"/>
  <c r="U3" i="2"/>
  <c r="U100" i="2"/>
  <c r="U25" i="2"/>
  <c r="U46" i="2"/>
  <c r="U38" i="2"/>
  <c r="U11" i="2"/>
  <c r="U30" i="2"/>
  <c r="U6" i="2"/>
  <c r="U101" i="2"/>
  <c r="U32" i="2"/>
  <c r="U62" i="2"/>
  <c r="U51" i="2"/>
  <c r="U59" i="2"/>
  <c r="U7" i="2"/>
  <c r="U33" i="2"/>
  <c r="U53" i="2"/>
  <c r="U9" i="2"/>
  <c r="U58" i="2"/>
  <c r="U83" i="2"/>
  <c r="U16" i="2"/>
  <c r="U37" i="2"/>
  <c r="U52" i="2"/>
  <c r="U14" i="2"/>
  <c r="U28" i="2"/>
  <c r="U94" i="2"/>
  <c r="U72" i="2"/>
  <c r="U27" i="2"/>
  <c r="U87" i="2"/>
  <c r="U90" i="2"/>
  <c r="U45" i="2"/>
  <c r="U49" i="2"/>
  <c r="U17" i="2"/>
  <c r="U50" i="2"/>
  <c r="U4" i="2"/>
  <c r="U73" i="2"/>
  <c r="U39" i="2"/>
  <c r="U47" i="2"/>
  <c r="U61" i="2"/>
  <c r="U12" i="2"/>
  <c r="U26" i="2"/>
  <c r="U88" i="2"/>
  <c r="U23" i="2"/>
  <c r="U43" i="2"/>
  <c r="U44" i="2"/>
  <c r="U54" i="2"/>
  <c r="U89" i="2"/>
  <c r="U48" i="2"/>
  <c r="U96" i="2"/>
  <c r="U64" i="2"/>
  <c r="U36" i="2"/>
  <c r="U99" i="2"/>
  <c r="U81" i="2"/>
  <c r="U22" i="2"/>
  <c r="U66" i="2"/>
  <c r="U74" i="2"/>
  <c r="U13" i="2"/>
  <c r="U24" i="2"/>
  <c r="U93" i="2"/>
  <c r="U97" i="2"/>
  <c r="U77" i="2"/>
  <c r="U86" i="2"/>
  <c r="U56" i="2"/>
  <c r="U92" i="2"/>
  <c r="U8" i="2"/>
  <c r="U79" i="2"/>
  <c r="U75" i="2"/>
  <c r="U42" i="2"/>
  <c r="U68" i="2"/>
  <c r="AN2" i="2" l="1"/>
  <c r="AN3" i="2"/>
  <c r="AN5" i="2"/>
  <c r="AN4" i="2"/>
</calcChain>
</file>

<file path=xl/sharedStrings.xml><?xml version="1.0" encoding="utf-8"?>
<sst xmlns="http://schemas.openxmlformats.org/spreadsheetml/2006/main" count="3025" uniqueCount="137">
  <si>
    <t>Taille</t>
  </si>
  <si>
    <t>Poids</t>
  </si>
  <si>
    <t>Id Patients</t>
  </si>
  <si>
    <t>Bras Trait</t>
  </si>
  <si>
    <t>Sexe</t>
  </si>
  <si>
    <t>Date Naiss</t>
  </si>
  <si>
    <t>Resultat TG</t>
  </si>
  <si>
    <t>G Epaisse</t>
  </si>
  <si>
    <t>Parasitemie</t>
  </si>
  <si>
    <t>Spot Sang</t>
  </si>
  <si>
    <t>E Indesirables</t>
  </si>
  <si>
    <t>Médicaments</t>
  </si>
  <si>
    <t>Description</t>
  </si>
  <si>
    <t>Date_Debut</t>
  </si>
  <si>
    <t>Date_Fin</t>
  </si>
  <si>
    <t>Intensité</t>
  </si>
  <si>
    <t>Gravité</t>
  </si>
  <si>
    <t>Action</t>
  </si>
  <si>
    <t>Développement</t>
  </si>
  <si>
    <t>Relation</t>
  </si>
  <si>
    <t>Gauche</t>
  </si>
  <si>
    <t>Féminin</t>
  </si>
  <si>
    <t>Négatif</t>
  </si>
  <si>
    <t>Doliprane</t>
  </si>
  <si>
    <t>Toux</t>
  </si>
  <si>
    <t>LEGER</t>
  </si>
  <si>
    <t>NON GRAVE</t>
  </si>
  <si>
    <t>AUCUNE ACTION</t>
  </si>
  <si>
    <t>RESOLU</t>
  </si>
  <si>
    <t>OUI</t>
  </si>
  <si>
    <t>Masculin</t>
  </si>
  <si>
    <t>None</t>
  </si>
  <si>
    <t>Ventoline</t>
  </si>
  <si>
    <t>Respitation aigue</t>
  </si>
  <si>
    <t>DOSE REDUITE</t>
  </si>
  <si>
    <t>Positif</t>
  </si>
  <si>
    <t>Aspirine</t>
  </si>
  <si>
    <t>Vision Floue</t>
  </si>
  <si>
    <t>MODERE</t>
  </si>
  <si>
    <t>Droite</t>
  </si>
  <si>
    <t>Eri</t>
  </si>
  <si>
    <t>Vestiges, Nausées</t>
  </si>
  <si>
    <t>SEVERE</t>
  </si>
  <si>
    <t>GRAVE</t>
  </si>
  <si>
    <t>AUTRE MEDICAMENT</t>
  </si>
  <si>
    <t>NE SAIT PAS</t>
  </si>
  <si>
    <t>Genset</t>
  </si>
  <si>
    <t>Démangeaisons</t>
  </si>
  <si>
    <t>ENCOURS DE RESOLUTION</t>
  </si>
  <si>
    <t>POSSIBLE</t>
  </si>
  <si>
    <t>Méquitizane</t>
  </si>
  <si>
    <t>Hypertension</t>
  </si>
  <si>
    <t>HOSPITALISATION</t>
  </si>
  <si>
    <t>DECES</t>
  </si>
  <si>
    <t>Constipation</t>
  </si>
  <si>
    <t>Allergine</t>
  </si>
  <si>
    <t>Problèmes respiratoires</t>
  </si>
  <si>
    <t>Hémorragie</t>
  </si>
  <si>
    <t>Vertiges</t>
  </si>
  <si>
    <t>Gaviscon</t>
  </si>
  <si>
    <t>Ballonement</t>
  </si>
  <si>
    <t>Omegen</t>
  </si>
  <si>
    <t>Fébrilex</t>
  </si>
  <si>
    <t>Vomissement</t>
  </si>
  <si>
    <t>Antinorex</t>
  </si>
  <si>
    <t>Vertiges,Fatigue</t>
  </si>
  <si>
    <t>Flagyl</t>
  </si>
  <si>
    <t>Brulures d'estomac</t>
  </si>
  <si>
    <t>Héliconacter</t>
  </si>
  <si>
    <t>Hémorragie digestive</t>
  </si>
  <si>
    <t>Ubiprofene</t>
  </si>
  <si>
    <t>Perfalgan</t>
  </si>
  <si>
    <t>Tremblements</t>
  </si>
  <si>
    <t>Amoxiciline</t>
  </si>
  <si>
    <t>Efferalgan</t>
  </si>
  <si>
    <t>Somnolence</t>
  </si>
  <si>
    <t>Dynamogène</t>
  </si>
  <si>
    <t>Antadys</t>
  </si>
  <si>
    <t>Crampes musculaires</t>
  </si>
  <si>
    <t>Novalgin</t>
  </si>
  <si>
    <t>Difficulté respiratoire</t>
  </si>
  <si>
    <t>Sérétide</t>
  </si>
  <si>
    <t>SEQUELLES</t>
  </si>
  <si>
    <t>Hallucinations</t>
  </si>
  <si>
    <t>Paracétamol</t>
  </si>
  <si>
    <t>Nausées</t>
  </si>
  <si>
    <t>NON RESOLU</t>
  </si>
  <si>
    <t>Bipreterax</t>
  </si>
  <si>
    <t>Augmentation rythme cardiaque</t>
  </si>
  <si>
    <t>Erruption cutanée</t>
  </si>
  <si>
    <t>Non Attribuable</t>
  </si>
  <si>
    <t>Ilax</t>
  </si>
  <si>
    <t>Alvityl</t>
  </si>
  <si>
    <t>Magnesium</t>
  </si>
  <si>
    <t>Crampes</t>
  </si>
  <si>
    <t>Dilatation des papilles</t>
  </si>
  <si>
    <t>Céphalées</t>
  </si>
  <si>
    <t>Maalox</t>
  </si>
  <si>
    <t xml:space="preserve">                                          </t>
  </si>
  <si>
    <t>INCONNU</t>
  </si>
  <si>
    <t>Bioreterax</t>
  </si>
  <si>
    <t>Litacold</t>
  </si>
  <si>
    <t>Diarrhée</t>
  </si>
  <si>
    <t>Crampes pulmonaires</t>
  </si>
  <si>
    <t>Enflement</t>
  </si>
  <si>
    <t>Fatigue</t>
  </si>
  <si>
    <t>IMC</t>
  </si>
  <si>
    <t>Nature</t>
  </si>
  <si>
    <t>Poids Normal</t>
  </si>
  <si>
    <t>Surpoids</t>
  </si>
  <si>
    <t>Obésité morbide ou massive</t>
  </si>
  <si>
    <t>Dénutrition ou anorexie</t>
  </si>
  <si>
    <t>Maigreur</t>
  </si>
  <si>
    <t>Obésité modérée</t>
  </si>
  <si>
    <t>Obésité sévère</t>
  </si>
  <si>
    <t>Poids normal</t>
  </si>
  <si>
    <t>Nombre</t>
  </si>
  <si>
    <t>Med</t>
  </si>
  <si>
    <t>Nbr</t>
  </si>
  <si>
    <t>Negatif</t>
  </si>
  <si>
    <t>Non Grave</t>
  </si>
  <si>
    <t>Possible</t>
  </si>
  <si>
    <t>En cours de Rsolution</t>
  </si>
  <si>
    <t>Hospitalisation</t>
  </si>
  <si>
    <t>NON</t>
  </si>
  <si>
    <t>esf</t>
  </si>
  <si>
    <t>ef</t>
  </si>
  <si>
    <t>esfgb</t>
  </si>
  <si>
    <t>ergf</t>
  </si>
  <si>
    <t>fv fv</t>
  </si>
  <si>
    <t>sdxvc</t>
  </si>
  <si>
    <t>dfx</t>
  </si>
  <si>
    <t>qef</t>
  </si>
  <si>
    <t>Sw</t>
  </si>
  <si>
    <t>EN COURS DE RESOLUTION</t>
  </si>
  <si>
    <t>17/02/2020</t>
  </si>
  <si>
    <t>somnolence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</si>
</sst>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left"/>
    </xf>
    <xf numFmtId="0" fontId="1" fillId="2" borderId="1" xfId="0" applyFont="1" applyFill="1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 applyAlignment="1">
      <alignment horizontal="center"/>
    </xf>
    <xf numFmtId="0" fontId="0" fillId="0" borderId="8" xfId="0" applyBorder="1"/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8" xfId="0" applyNumberFormat="1" applyBorder="1" applyAlignment="1">
      <alignment horizontal="center"/>
    </xf>
    <xf numFmtId="0" fontId="0" fillId="3" borderId="1" xfId="0" applyFont="1" applyFill="1" applyBorder="1" applyAlignment="1">
      <alignment horizontal="center"/>
    </xf>
    <xf numFmtId="14" fontId="0" fillId="3" borderId="1" xfId="0" applyNumberFormat="1" applyFont="1" applyFill="1" applyBorder="1" applyAlignment="1">
      <alignment horizontal="center"/>
    </xf>
    <xf numFmtId="0" fontId="0" fillId="3" borderId="1" xfId="0" applyFont="1" applyFill="1" applyBorder="1"/>
    <xf numFmtId="0" fontId="0" fillId="3" borderId="1" xfId="0" applyFont="1" applyFill="1" applyBorder="1" applyAlignment="1">
      <alignment horizontal="left"/>
    </xf>
    <xf numFmtId="0" fontId="0" fillId="3" borderId="3" xfId="0" applyFont="1" applyFill="1" applyBorder="1" applyAlignment="1">
      <alignment horizontal="center"/>
    </xf>
    <xf numFmtId="0" fontId="0" fillId="3" borderId="10" xfId="0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14" fontId="0" fillId="0" borderId="1" xfId="0" applyNumberFormat="1" applyFont="1" applyBorder="1" applyAlignment="1">
      <alignment horizontal="center"/>
    </xf>
    <xf numFmtId="0" fontId="0" fillId="0" borderId="1" xfId="0" applyFont="1" applyBorder="1"/>
    <xf numFmtId="0" fontId="0" fillId="0" borderId="1" xfId="0" applyFont="1" applyBorder="1" applyAlignment="1">
      <alignment horizontal="left"/>
    </xf>
    <xf numFmtId="0" fontId="0" fillId="0" borderId="3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14" fontId="0" fillId="0" borderId="11" xfId="0" applyNumberFormat="1" applyFont="1" applyBorder="1" applyAlignment="1">
      <alignment horizontal="center"/>
    </xf>
    <xf numFmtId="0" fontId="0" fillId="0" borderId="11" xfId="0" applyFont="1" applyBorder="1"/>
    <xf numFmtId="0" fontId="0" fillId="0" borderId="11" xfId="0" applyFont="1" applyBorder="1" applyAlignment="1">
      <alignment horizontal="left"/>
    </xf>
    <xf numFmtId="0" fontId="0" fillId="0" borderId="12" xfId="0" applyFont="1" applyBorder="1" applyAlignment="1">
      <alignment horizontal="center"/>
    </xf>
    <xf numFmtId="0" fontId="0" fillId="3" borderId="2" xfId="0" applyFont="1" applyFill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3" borderId="3" xfId="0" applyFont="1" applyFill="1" applyBorder="1"/>
    <xf numFmtId="0" fontId="0" fillId="0" borderId="3" xfId="0" applyFont="1" applyBorder="1"/>
    <xf numFmtId="0" fontId="0" fillId="0" borderId="7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14" fontId="0" fillId="0" borderId="8" xfId="0" applyNumberFormat="1" applyFont="1" applyBorder="1" applyAlignment="1">
      <alignment horizontal="center"/>
    </xf>
    <xf numFmtId="0" fontId="0" fillId="0" borderId="0" xfId="0" applyBorder="1"/>
    <xf numFmtId="0" fontId="0" fillId="0" borderId="8" xfId="0" applyFont="1" applyBorder="1" applyAlignment="1">
      <alignment horizontal="left"/>
    </xf>
    <xf numFmtId="0" fontId="0" fillId="0" borderId="9" xfId="0" applyFont="1" applyBorder="1" applyAlignment="1">
      <alignment horizontal="center"/>
    </xf>
    <xf numFmtId="0" fontId="0" fillId="0" borderId="9" xfId="0" applyFont="1" applyBorder="1"/>
  </cellXfs>
  <cellStyles count="1">
    <cellStyle name="Normal" xfId="0" builtinId="0"/>
  </cellStyles>
  <dxfs count="51"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9" formatCode="dd/mm/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Part des patients en fonctions de leur nature</a:t>
            </a:r>
            <a:endParaRPr lang="fr-FR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>
                <a:solidFill>
                  <a:sysClr val="windowText" lastClr="000000">
                    <a:lumMod val="75000"/>
                    <a:lumOff val="25000"/>
                  </a:sysClr>
                </a:solidFill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baseline="0">
              <a:solidFill>
                <a:sysClr val="windowText" lastClr="000000">
                  <a:lumMod val="75000"/>
                  <a:lumOff val="2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secteur!$B$1</c:f>
              <c:strCache>
                <c:ptCount val="1"/>
                <c:pt idx="0">
                  <c:v>Nombre</c:v>
                </c:pt>
              </c:strCache>
            </c:strRef>
          </c:tx>
          <c:explosion val="14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A622-4F8A-BFF5-0AF7284FFD1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A622-4F8A-BFF5-0AF7284FFD1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2-A622-4F8A-BFF5-0AF7284FFD1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E85E-426C-B67E-14185EC7D72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6-A622-4F8A-BFF5-0AF7284FFD11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A622-4F8A-BFF5-0AF7284FFD11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4-A622-4F8A-BFF5-0AF7284FFD11}"/>
              </c:ext>
            </c:extLst>
          </c:dPt>
          <c:dLbls>
            <c:dLbl>
              <c:idx val="0"/>
              <c:layout>
                <c:manualLayout>
                  <c:x val="-2.4769780661839443E-2"/>
                  <c:y val="7.6262258262493277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622-4F8A-BFF5-0AF7284FFD11}"/>
                </c:ext>
              </c:extLst>
            </c:dLbl>
            <c:dLbl>
              <c:idx val="1"/>
              <c:layout>
                <c:manualLayout>
                  <c:x val="-6.6887851330141523E-2"/>
                  <c:y val="8.1726537914103961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622-4F8A-BFF5-0AF7284FFD11}"/>
                </c:ext>
              </c:extLst>
            </c:dLbl>
            <c:dLbl>
              <c:idx val="2"/>
              <c:layout>
                <c:manualLayout>
                  <c:x val="-0.10833524578271943"/>
                  <c:y val="-0.1041360128491401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622-4F8A-BFF5-0AF7284FFD11}"/>
                </c:ext>
              </c:extLst>
            </c:dLbl>
            <c:dLbl>
              <c:idx val="4"/>
              <c:layout>
                <c:manualLayout>
                  <c:x val="8.3890317730384176E-2"/>
                  <c:y val="4.237996369856753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622-4F8A-BFF5-0AF7284FFD11}"/>
                </c:ext>
              </c:extLst>
            </c:dLbl>
            <c:dLbl>
              <c:idx val="5"/>
              <c:layout>
                <c:manualLayout>
                  <c:x val="3.6199237658106807E-2"/>
                  <c:y val="7.8112586672934484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622-4F8A-BFF5-0AF7284FFD11}"/>
                </c:ext>
              </c:extLst>
            </c:dLbl>
            <c:dLbl>
              <c:idx val="6"/>
              <c:layout>
                <c:manualLayout>
                  <c:x val="1.1440799799522547E-2"/>
                  <c:y val="6.1759183087188696E-2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622-4F8A-BFF5-0AF7284FFD11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secteur!$A$2:$A$8</c:f>
              <c:strCache>
                <c:ptCount val="7"/>
                <c:pt idx="0">
                  <c:v>Dénutrition ou anorexie</c:v>
                </c:pt>
                <c:pt idx="1">
                  <c:v>Maigreur</c:v>
                </c:pt>
                <c:pt idx="2">
                  <c:v>Poids normal</c:v>
                </c:pt>
                <c:pt idx="3">
                  <c:v>Surpoids</c:v>
                </c:pt>
                <c:pt idx="4">
                  <c:v>Obésité modérée</c:v>
                </c:pt>
                <c:pt idx="5">
                  <c:v>Obésité sévère</c:v>
                </c:pt>
                <c:pt idx="6">
                  <c:v>Obésité morbide ou massive</c:v>
                </c:pt>
              </c:strCache>
            </c:strRef>
          </c:cat>
          <c:val>
            <c:numRef>
              <c:f>secteur!$B$2:$B$8</c:f>
              <c:numCache>
                <c:formatCode>General</c:formatCode>
                <c:ptCount val="7"/>
                <c:pt idx="0">
                  <c:v>8</c:v>
                </c:pt>
                <c:pt idx="1">
                  <c:v>10</c:v>
                </c:pt>
                <c:pt idx="2">
                  <c:v>25</c:v>
                </c:pt>
                <c:pt idx="3">
                  <c:v>32</c:v>
                </c:pt>
                <c:pt idx="4">
                  <c:v>15</c:v>
                </c:pt>
                <c:pt idx="5">
                  <c:v>7</c:v>
                </c:pt>
                <c:pt idx="6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22-4F8A-BFF5-0AF7284FFD11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>
                    <a:lumMod val="75000"/>
                    <a:lumOff val="2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800" b="1" i="0" baseline="0">
                <a:effectLst/>
              </a:rPr>
              <a:t>Part  occupée par les médicaments liés aux nombres de patients présentant des événements indésirables</a:t>
            </a:r>
            <a:endParaRPr lang="fr-F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baseline="0">
              <a:solidFill>
                <a:sysClr val="windowText" lastClr="000000">
                  <a:lumMod val="75000"/>
                  <a:lumOff val="25000"/>
                </a:sys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baton!$B$1</c:f>
              <c:strCache>
                <c:ptCount val="1"/>
                <c:pt idx="0">
                  <c:v>Nbr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baton!$A$2:$A$30</c:f>
              <c:strCache>
                <c:ptCount val="29"/>
                <c:pt idx="0">
                  <c:v>Doliprane</c:v>
                </c:pt>
                <c:pt idx="1">
                  <c:v>Ventoline</c:v>
                </c:pt>
                <c:pt idx="2">
                  <c:v>Aspirine</c:v>
                </c:pt>
                <c:pt idx="3">
                  <c:v>Eri</c:v>
                </c:pt>
                <c:pt idx="4">
                  <c:v>Genset</c:v>
                </c:pt>
                <c:pt idx="5">
                  <c:v>Méquitizane</c:v>
                </c:pt>
                <c:pt idx="6">
                  <c:v>Maalox</c:v>
                </c:pt>
                <c:pt idx="7">
                  <c:v>Allergine</c:v>
                </c:pt>
                <c:pt idx="8">
                  <c:v>Gaviscon</c:v>
                </c:pt>
                <c:pt idx="9">
                  <c:v>Omegen</c:v>
                </c:pt>
                <c:pt idx="10">
                  <c:v>Fébrilex</c:v>
                </c:pt>
                <c:pt idx="11">
                  <c:v>Antinorex</c:v>
                </c:pt>
                <c:pt idx="12">
                  <c:v>Flagyl</c:v>
                </c:pt>
                <c:pt idx="13">
                  <c:v>Héliconacter</c:v>
                </c:pt>
                <c:pt idx="14">
                  <c:v>Ubiprofene</c:v>
                </c:pt>
                <c:pt idx="15">
                  <c:v>Perfalgan</c:v>
                </c:pt>
                <c:pt idx="16">
                  <c:v>Amoxiciline</c:v>
                </c:pt>
                <c:pt idx="17">
                  <c:v>Efferalgan</c:v>
                </c:pt>
                <c:pt idx="18">
                  <c:v>Dynamogène</c:v>
                </c:pt>
                <c:pt idx="19">
                  <c:v>Antadys</c:v>
                </c:pt>
                <c:pt idx="20">
                  <c:v>Novalgin</c:v>
                </c:pt>
                <c:pt idx="21">
                  <c:v>Sérétide</c:v>
                </c:pt>
                <c:pt idx="22">
                  <c:v>Paracétamol</c:v>
                </c:pt>
                <c:pt idx="23">
                  <c:v>Omegen</c:v>
                </c:pt>
                <c:pt idx="24">
                  <c:v>Bipreterax</c:v>
                </c:pt>
                <c:pt idx="25">
                  <c:v>Alvityl</c:v>
                </c:pt>
                <c:pt idx="26">
                  <c:v>Ilax</c:v>
                </c:pt>
                <c:pt idx="27">
                  <c:v>Magnesium</c:v>
                </c:pt>
                <c:pt idx="28">
                  <c:v>Litacold</c:v>
                </c:pt>
              </c:strCache>
            </c:strRef>
          </c:cat>
          <c:val>
            <c:numRef>
              <c:f>baton!$B$2:$B$30</c:f>
              <c:numCache>
                <c:formatCode>General</c:formatCode>
                <c:ptCount val="29"/>
                <c:pt idx="0">
                  <c:v>2</c:v>
                </c:pt>
                <c:pt idx="1">
                  <c:v>6</c:v>
                </c:pt>
                <c:pt idx="2">
                  <c:v>14</c:v>
                </c:pt>
                <c:pt idx="3">
                  <c:v>4</c:v>
                </c:pt>
                <c:pt idx="4">
                  <c:v>3</c:v>
                </c:pt>
                <c:pt idx="5">
                  <c:v>1</c:v>
                </c:pt>
                <c:pt idx="6">
                  <c:v>3</c:v>
                </c:pt>
                <c:pt idx="7">
                  <c:v>9</c:v>
                </c:pt>
                <c:pt idx="8">
                  <c:v>4</c:v>
                </c:pt>
                <c:pt idx="9">
                  <c:v>2</c:v>
                </c:pt>
                <c:pt idx="10">
                  <c:v>6</c:v>
                </c:pt>
                <c:pt idx="11">
                  <c:v>3</c:v>
                </c:pt>
                <c:pt idx="12">
                  <c:v>1</c:v>
                </c:pt>
                <c:pt idx="13">
                  <c:v>1</c:v>
                </c:pt>
                <c:pt idx="14">
                  <c:v>3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  <c:pt idx="18">
                  <c:v>2</c:v>
                </c:pt>
                <c:pt idx="19">
                  <c:v>3</c:v>
                </c:pt>
                <c:pt idx="20">
                  <c:v>1</c:v>
                </c:pt>
                <c:pt idx="21">
                  <c:v>11</c:v>
                </c:pt>
                <c:pt idx="22">
                  <c:v>1</c:v>
                </c:pt>
                <c:pt idx="23">
                  <c:v>1</c:v>
                </c:pt>
                <c:pt idx="24">
                  <c:v>5</c:v>
                </c:pt>
                <c:pt idx="25">
                  <c:v>3</c:v>
                </c:pt>
                <c:pt idx="26">
                  <c:v>2</c:v>
                </c:pt>
                <c:pt idx="27">
                  <c:v>1</c:v>
                </c:pt>
                <c:pt idx="2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3-49CA-9240-4EBA7E4EC47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634534160"/>
        <c:axId val="515842640"/>
      </c:barChart>
      <c:catAx>
        <c:axId val="634534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5842640"/>
        <c:crosses val="autoZero"/>
        <c:auto val="1"/>
        <c:lblAlgn val="ctr"/>
        <c:lblOffset val="100"/>
        <c:noMultiLvlLbl val="0"/>
      </c:catAx>
      <c:valAx>
        <c:axId val="51584264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634534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fr-FR" sz="1800" b="1" i="0" baseline="0">
                <a:effectLst/>
              </a:rPr>
              <a:t>Corrélation entre la taille et le poids des patients</a:t>
            </a:r>
            <a:endParaRPr lang="fr-FR">
              <a:effectLst/>
            </a:endParaRPr>
          </a:p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nuage!$B$1</c:f>
              <c:strCache>
                <c:ptCount val="1"/>
                <c:pt idx="0">
                  <c:v>Poids</c:v>
                </c:pt>
              </c:strCache>
            </c:strRef>
          </c:tx>
          <c:spPr>
            <a:ln w="25400" cap="flat" cmpd="sng" algn="ctr">
              <a:noFill/>
              <a:prstDash val="sysDot"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nuage!$A$2:$A$102</c:f>
              <c:numCache>
                <c:formatCode>General</c:formatCode>
                <c:ptCount val="101"/>
                <c:pt idx="0">
                  <c:v>165</c:v>
                </c:pt>
                <c:pt idx="1">
                  <c:v>180</c:v>
                </c:pt>
                <c:pt idx="2">
                  <c:v>169</c:v>
                </c:pt>
                <c:pt idx="3">
                  <c:v>187</c:v>
                </c:pt>
                <c:pt idx="4">
                  <c:v>182</c:v>
                </c:pt>
                <c:pt idx="5">
                  <c:v>171</c:v>
                </c:pt>
                <c:pt idx="6">
                  <c:v>175</c:v>
                </c:pt>
                <c:pt idx="7">
                  <c:v>181</c:v>
                </c:pt>
                <c:pt idx="8">
                  <c:v>169</c:v>
                </c:pt>
                <c:pt idx="9">
                  <c:v>190</c:v>
                </c:pt>
                <c:pt idx="10">
                  <c:v>170</c:v>
                </c:pt>
                <c:pt idx="11">
                  <c:v>170</c:v>
                </c:pt>
                <c:pt idx="12">
                  <c:v>159</c:v>
                </c:pt>
                <c:pt idx="13">
                  <c:v>182</c:v>
                </c:pt>
                <c:pt idx="14">
                  <c:v>172</c:v>
                </c:pt>
                <c:pt idx="15">
                  <c:v>172</c:v>
                </c:pt>
                <c:pt idx="16">
                  <c:v>172</c:v>
                </c:pt>
                <c:pt idx="17">
                  <c:v>155</c:v>
                </c:pt>
                <c:pt idx="18">
                  <c:v>162</c:v>
                </c:pt>
                <c:pt idx="19">
                  <c:v>130</c:v>
                </c:pt>
                <c:pt idx="20">
                  <c:v>170</c:v>
                </c:pt>
                <c:pt idx="21">
                  <c:v>170</c:v>
                </c:pt>
                <c:pt idx="22">
                  <c:v>167</c:v>
                </c:pt>
                <c:pt idx="23">
                  <c:v>186</c:v>
                </c:pt>
                <c:pt idx="24">
                  <c:v>186</c:v>
                </c:pt>
                <c:pt idx="25">
                  <c:v>186</c:v>
                </c:pt>
                <c:pt idx="26">
                  <c:v>166</c:v>
                </c:pt>
                <c:pt idx="27">
                  <c:v>166</c:v>
                </c:pt>
                <c:pt idx="28">
                  <c:v>155</c:v>
                </c:pt>
                <c:pt idx="29">
                  <c:v>170</c:v>
                </c:pt>
                <c:pt idx="30">
                  <c:v>170</c:v>
                </c:pt>
                <c:pt idx="31">
                  <c:v>178</c:v>
                </c:pt>
                <c:pt idx="32">
                  <c:v>178</c:v>
                </c:pt>
                <c:pt idx="33">
                  <c:v>178</c:v>
                </c:pt>
                <c:pt idx="34">
                  <c:v>180</c:v>
                </c:pt>
                <c:pt idx="35">
                  <c:v>180</c:v>
                </c:pt>
                <c:pt idx="36">
                  <c:v>159</c:v>
                </c:pt>
                <c:pt idx="37">
                  <c:v>178</c:v>
                </c:pt>
                <c:pt idx="38">
                  <c:v>178</c:v>
                </c:pt>
                <c:pt idx="39">
                  <c:v>178</c:v>
                </c:pt>
                <c:pt idx="40">
                  <c:v>178</c:v>
                </c:pt>
                <c:pt idx="41">
                  <c:v>179</c:v>
                </c:pt>
                <c:pt idx="42">
                  <c:v>196</c:v>
                </c:pt>
                <c:pt idx="43">
                  <c:v>161</c:v>
                </c:pt>
                <c:pt idx="44">
                  <c:v>161</c:v>
                </c:pt>
                <c:pt idx="45">
                  <c:v>171</c:v>
                </c:pt>
                <c:pt idx="46">
                  <c:v>171</c:v>
                </c:pt>
                <c:pt idx="47">
                  <c:v>191</c:v>
                </c:pt>
                <c:pt idx="48">
                  <c:v>191</c:v>
                </c:pt>
                <c:pt idx="49">
                  <c:v>167</c:v>
                </c:pt>
                <c:pt idx="50">
                  <c:v>120</c:v>
                </c:pt>
                <c:pt idx="51">
                  <c:v>145</c:v>
                </c:pt>
                <c:pt idx="52">
                  <c:v>145</c:v>
                </c:pt>
                <c:pt idx="53">
                  <c:v>172</c:v>
                </c:pt>
                <c:pt idx="54">
                  <c:v>192</c:v>
                </c:pt>
                <c:pt idx="55">
                  <c:v>192</c:v>
                </c:pt>
                <c:pt idx="56">
                  <c:v>162</c:v>
                </c:pt>
                <c:pt idx="57">
                  <c:v>162</c:v>
                </c:pt>
                <c:pt idx="58">
                  <c:v>162</c:v>
                </c:pt>
                <c:pt idx="59">
                  <c:v>162</c:v>
                </c:pt>
                <c:pt idx="60">
                  <c:v>187</c:v>
                </c:pt>
                <c:pt idx="61">
                  <c:v>187</c:v>
                </c:pt>
                <c:pt idx="62">
                  <c:v>187</c:v>
                </c:pt>
                <c:pt idx="63">
                  <c:v>187</c:v>
                </c:pt>
                <c:pt idx="64">
                  <c:v>187</c:v>
                </c:pt>
                <c:pt idx="65">
                  <c:v>187</c:v>
                </c:pt>
                <c:pt idx="66">
                  <c:v>187</c:v>
                </c:pt>
                <c:pt idx="67">
                  <c:v>187</c:v>
                </c:pt>
                <c:pt idx="68">
                  <c:v>187</c:v>
                </c:pt>
                <c:pt idx="69">
                  <c:v>187</c:v>
                </c:pt>
                <c:pt idx="70">
                  <c:v>187</c:v>
                </c:pt>
                <c:pt idx="71">
                  <c:v>187</c:v>
                </c:pt>
                <c:pt idx="72">
                  <c:v>195</c:v>
                </c:pt>
                <c:pt idx="73">
                  <c:v>195</c:v>
                </c:pt>
                <c:pt idx="74">
                  <c:v>195</c:v>
                </c:pt>
                <c:pt idx="75">
                  <c:v>195</c:v>
                </c:pt>
                <c:pt idx="76">
                  <c:v>156</c:v>
                </c:pt>
                <c:pt idx="77">
                  <c:v>156</c:v>
                </c:pt>
                <c:pt idx="78">
                  <c:v>156</c:v>
                </c:pt>
                <c:pt idx="79">
                  <c:v>156</c:v>
                </c:pt>
                <c:pt idx="80">
                  <c:v>156</c:v>
                </c:pt>
                <c:pt idx="81">
                  <c:v>176</c:v>
                </c:pt>
                <c:pt idx="82">
                  <c:v>195</c:v>
                </c:pt>
                <c:pt idx="83">
                  <c:v>195</c:v>
                </c:pt>
                <c:pt idx="84">
                  <c:v>185</c:v>
                </c:pt>
                <c:pt idx="85">
                  <c:v>155</c:v>
                </c:pt>
                <c:pt idx="86">
                  <c:v>155</c:v>
                </c:pt>
                <c:pt idx="87">
                  <c:v>165</c:v>
                </c:pt>
                <c:pt idx="88">
                  <c:v>165</c:v>
                </c:pt>
                <c:pt idx="89">
                  <c:v>175</c:v>
                </c:pt>
                <c:pt idx="90">
                  <c:v>160</c:v>
                </c:pt>
                <c:pt idx="91">
                  <c:v>173</c:v>
                </c:pt>
                <c:pt idx="92">
                  <c:v>187</c:v>
                </c:pt>
                <c:pt idx="93">
                  <c:v>180</c:v>
                </c:pt>
                <c:pt idx="94">
                  <c:v>180</c:v>
                </c:pt>
                <c:pt idx="95">
                  <c:v>180</c:v>
                </c:pt>
                <c:pt idx="96">
                  <c:v>180</c:v>
                </c:pt>
                <c:pt idx="97">
                  <c:v>165</c:v>
                </c:pt>
                <c:pt idx="98">
                  <c:v>165</c:v>
                </c:pt>
                <c:pt idx="99">
                  <c:v>117</c:v>
                </c:pt>
                <c:pt idx="100">
                  <c:v>156</c:v>
                </c:pt>
              </c:numCache>
            </c:numRef>
          </c:xVal>
          <c:yVal>
            <c:numRef>
              <c:f>nuage!$B$2:$B$102</c:f>
              <c:numCache>
                <c:formatCode>General</c:formatCode>
                <c:ptCount val="101"/>
                <c:pt idx="0">
                  <c:v>55</c:v>
                </c:pt>
                <c:pt idx="1">
                  <c:v>70</c:v>
                </c:pt>
                <c:pt idx="2">
                  <c:v>80</c:v>
                </c:pt>
                <c:pt idx="3">
                  <c:v>76</c:v>
                </c:pt>
                <c:pt idx="4">
                  <c:v>93</c:v>
                </c:pt>
                <c:pt idx="5">
                  <c:v>90</c:v>
                </c:pt>
                <c:pt idx="6">
                  <c:v>55</c:v>
                </c:pt>
                <c:pt idx="7">
                  <c:v>91</c:v>
                </c:pt>
                <c:pt idx="8">
                  <c:v>60</c:v>
                </c:pt>
                <c:pt idx="9">
                  <c:v>110</c:v>
                </c:pt>
                <c:pt idx="10">
                  <c:v>45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110</c:v>
                </c:pt>
                <c:pt idx="15">
                  <c:v>58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25</c:v>
                </c:pt>
                <c:pt idx="20">
                  <c:v>95</c:v>
                </c:pt>
                <c:pt idx="21">
                  <c:v>55</c:v>
                </c:pt>
                <c:pt idx="22">
                  <c:v>115</c:v>
                </c:pt>
                <c:pt idx="23">
                  <c:v>115</c:v>
                </c:pt>
                <c:pt idx="24">
                  <c:v>65</c:v>
                </c:pt>
                <c:pt idx="25">
                  <c:v>62</c:v>
                </c:pt>
                <c:pt idx="26">
                  <c:v>69</c:v>
                </c:pt>
                <c:pt idx="27">
                  <c:v>80</c:v>
                </c:pt>
                <c:pt idx="28">
                  <c:v>101</c:v>
                </c:pt>
                <c:pt idx="29">
                  <c:v>46</c:v>
                </c:pt>
                <c:pt idx="30">
                  <c:v>89</c:v>
                </c:pt>
                <c:pt idx="31">
                  <c:v>89</c:v>
                </c:pt>
                <c:pt idx="32">
                  <c:v>54</c:v>
                </c:pt>
                <c:pt idx="33">
                  <c:v>54</c:v>
                </c:pt>
                <c:pt idx="34">
                  <c:v>76</c:v>
                </c:pt>
                <c:pt idx="35">
                  <c:v>103</c:v>
                </c:pt>
                <c:pt idx="36">
                  <c:v>76</c:v>
                </c:pt>
                <c:pt idx="37">
                  <c:v>90</c:v>
                </c:pt>
                <c:pt idx="38">
                  <c:v>96</c:v>
                </c:pt>
                <c:pt idx="39">
                  <c:v>87</c:v>
                </c:pt>
                <c:pt idx="40">
                  <c:v>62</c:v>
                </c:pt>
                <c:pt idx="41">
                  <c:v>68</c:v>
                </c:pt>
                <c:pt idx="42">
                  <c:v>65</c:v>
                </c:pt>
                <c:pt idx="43">
                  <c:v>65</c:v>
                </c:pt>
                <c:pt idx="44">
                  <c:v>76</c:v>
                </c:pt>
                <c:pt idx="45">
                  <c:v>76</c:v>
                </c:pt>
                <c:pt idx="46">
                  <c:v>86</c:v>
                </c:pt>
                <c:pt idx="47">
                  <c:v>80</c:v>
                </c:pt>
                <c:pt idx="48">
                  <c:v>87</c:v>
                </c:pt>
                <c:pt idx="49">
                  <c:v>87</c:v>
                </c:pt>
                <c:pt idx="50">
                  <c:v>20</c:v>
                </c:pt>
                <c:pt idx="51">
                  <c:v>42</c:v>
                </c:pt>
                <c:pt idx="52">
                  <c:v>68</c:v>
                </c:pt>
                <c:pt idx="53">
                  <c:v>104</c:v>
                </c:pt>
                <c:pt idx="54">
                  <c:v>110</c:v>
                </c:pt>
                <c:pt idx="55">
                  <c:v>89</c:v>
                </c:pt>
                <c:pt idx="56">
                  <c:v>93</c:v>
                </c:pt>
                <c:pt idx="57">
                  <c:v>93</c:v>
                </c:pt>
                <c:pt idx="58">
                  <c:v>65</c:v>
                </c:pt>
                <c:pt idx="59">
                  <c:v>65</c:v>
                </c:pt>
                <c:pt idx="60">
                  <c:v>71</c:v>
                </c:pt>
                <c:pt idx="61">
                  <c:v>91</c:v>
                </c:pt>
                <c:pt idx="62">
                  <c:v>91</c:v>
                </c:pt>
                <c:pt idx="63">
                  <c:v>91</c:v>
                </c:pt>
                <c:pt idx="64">
                  <c:v>91</c:v>
                </c:pt>
                <c:pt idx="65">
                  <c:v>91</c:v>
                </c:pt>
                <c:pt idx="66">
                  <c:v>91</c:v>
                </c:pt>
                <c:pt idx="67">
                  <c:v>91</c:v>
                </c:pt>
                <c:pt idx="68">
                  <c:v>91</c:v>
                </c:pt>
                <c:pt idx="69">
                  <c:v>61</c:v>
                </c:pt>
                <c:pt idx="70">
                  <c:v>61</c:v>
                </c:pt>
                <c:pt idx="71">
                  <c:v>61</c:v>
                </c:pt>
                <c:pt idx="72">
                  <c:v>61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56</c:v>
                </c:pt>
                <c:pt idx="81">
                  <c:v>40</c:v>
                </c:pt>
                <c:pt idx="82">
                  <c:v>51</c:v>
                </c:pt>
                <c:pt idx="83">
                  <c:v>51</c:v>
                </c:pt>
                <c:pt idx="84">
                  <c:v>71</c:v>
                </c:pt>
                <c:pt idx="85">
                  <c:v>71</c:v>
                </c:pt>
                <c:pt idx="86">
                  <c:v>71</c:v>
                </c:pt>
                <c:pt idx="87">
                  <c:v>71</c:v>
                </c:pt>
                <c:pt idx="88">
                  <c:v>81</c:v>
                </c:pt>
                <c:pt idx="89">
                  <c:v>91</c:v>
                </c:pt>
                <c:pt idx="90">
                  <c:v>91</c:v>
                </c:pt>
                <c:pt idx="91">
                  <c:v>72</c:v>
                </c:pt>
                <c:pt idx="92">
                  <c:v>59</c:v>
                </c:pt>
                <c:pt idx="93">
                  <c:v>91</c:v>
                </c:pt>
                <c:pt idx="94">
                  <c:v>54</c:v>
                </c:pt>
                <c:pt idx="95">
                  <c:v>84</c:v>
                </c:pt>
                <c:pt idx="96">
                  <c:v>84</c:v>
                </c:pt>
                <c:pt idx="97">
                  <c:v>96</c:v>
                </c:pt>
                <c:pt idx="98">
                  <c:v>61</c:v>
                </c:pt>
                <c:pt idx="99">
                  <c:v>116</c:v>
                </c:pt>
                <c:pt idx="100">
                  <c:v>126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DD-4E2E-975A-003625BF2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2953648"/>
        <c:axId val="515872592"/>
      </c:scatterChart>
      <c:valAx>
        <c:axId val="632953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0000"/>
                <a:lumOff val="8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15872592"/>
        <c:crosses val="autoZero"/>
        <c:crossBetween val="midCat"/>
      </c:valAx>
      <c:valAx>
        <c:axId val="51587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rnd">
            <a:solidFill>
              <a:schemeClr val="dk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2953648"/>
        <c:crosses val="autoZero"/>
        <c:crossBetween val="midCat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>
                <a:alpha val="0"/>
              </a:schemeClr>
            </a:gs>
          </a:gsLst>
          <a:lin ang="5400000" scaled="0"/>
        </a:grad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419099</xdr:colOff>
      <xdr:row>3</xdr:row>
      <xdr:rowOff>28574</xdr:rowOff>
    </xdr:from>
    <xdr:to>
      <xdr:col>13</xdr:col>
      <xdr:colOff>714374</xdr:colOff>
      <xdr:row>23</xdr:row>
      <xdr:rowOff>171449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F308A00-A7D8-4243-A488-330DDAD746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742949</xdr:colOff>
      <xdr:row>12</xdr:row>
      <xdr:rowOff>28574</xdr:rowOff>
    </xdr:from>
    <xdr:to>
      <xdr:col>13</xdr:col>
      <xdr:colOff>742950</xdr:colOff>
      <xdr:row>33</xdr:row>
      <xdr:rowOff>38100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3CE08C1-2C24-4381-93BA-09CBBD5B08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142875</xdr:rowOff>
    </xdr:from>
    <xdr:to>
      <xdr:col>12</xdr:col>
      <xdr:colOff>495300</xdr:colOff>
      <xdr:row>24</xdr:row>
      <xdr:rowOff>9524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FF5F2567-CCCD-47AE-968B-ED6683BAAC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ASTER1\Semestre%201\VBA\Projet2%20VBA1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4"/>
      <sheetName val="données"/>
      <sheetName val="graphes"/>
    </sheetNames>
    <sheetDataSet>
      <sheetData sheetId="0"/>
      <sheetData sheetId="1">
        <row r="2">
          <cell r="E2">
            <v>165</v>
          </cell>
          <cell r="F2">
            <v>55</v>
          </cell>
        </row>
        <row r="3">
          <cell r="E3">
            <v>180</v>
          </cell>
          <cell r="F3">
            <v>70</v>
          </cell>
        </row>
        <row r="4">
          <cell r="E4">
            <v>169</v>
          </cell>
          <cell r="F4">
            <v>80</v>
          </cell>
        </row>
        <row r="5">
          <cell r="E5">
            <v>187</v>
          </cell>
          <cell r="F5">
            <v>76</v>
          </cell>
        </row>
        <row r="6">
          <cell r="E6">
            <v>182</v>
          </cell>
          <cell r="F6">
            <v>93</v>
          </cell>
        </row>
        <row r="7">
          <cell r="E7">
            <v>171</v>
          </cell>
          <cell r="F7">
            <v>90</v>
          </cell>
        </row>
        <row r="8">
          <cell r="E8">
            <v>175</v>
          </cell>
          <cell r="F8">
            <v>55</v>
          </cell>
        </row>
        <row r="9">
          <cell r="E9">
            <v>181</v>
          </cell>
          <cell r="F9">
            <v>91</v>
          </cell>
        </row>
        <row r="10">
          <cell r="E10">
            <v>169</v>
          </cell>
          <cell r="F10">
            <v>60</v>
          </cell>
        </row>
        <row r="11">
          <cell r="E11">
            <v>190</v>
          </cell>
          <cell r="F11">
            <v>110</v>
          </cell>
        </row>
        <row r="12">
          <cell r="E12">
            <v>170</v>
          </cell>
          <cell r="F12">
            <v>45</v>
          </cell>
        </row>
        <row r="13">
          <cell r="E13">
            <v>170</v>
          </cell>
          <cell r="F13">
            <v>80</v>
          </cell>
        </row>
        <row r="14">
          <cell r="E14">
            <v>159</v>
          </cell>
          <cell r="F14">
            <v>80</v>
          </cell>
        </row>
        <row r="15">
          <cell r="E15">
            <v>182</v>
          </cell>
          <cell r="F15">
            <v>80</v>
          </cell>
        </row>
        <row r="16">
          <cell r="E16">
            <v>172</v>
          </cell>
          <cell r="F16">
            <v>110</v>
          </cell>
        </row>
        <row r="17">
          <cell r="E17">
            <v>172</v>
          </cell>
          <cell r="F17">
            <v>58</v>
          </cell>
        </row>
        <row r="18">
          <cell r="E18">
            <v>172</v>
          </cell>
          <cell r="F18">
            <v>78</v>
          </cell>
        </row>
        <row r="19">
          <cell r="E19">
            <v>155</v>
          </cell>
          <cell r="F19">
            <v>78</v>
          </cell>
        </row>
        <row r="20">
          <cell r="E20">
            <v>162</v>
          </cell>
          <cell r="F20">
            <v>78</v>
          </cell>
        </row>
        <row r="21">
          <cell r="E21">
            <v>130</v>
          </cell>
          <cell r="F21">
            <v>25</v>
          </cell>
        </row>
        <row r="22">
          <cell r="E22">
            <v>170</v>
          </cell>
          <cell r="F22">
            <v>95</v>
          </cell>
        </row>
        <row r="23">
          <cell r="E23">
            <v>170</v>
          </cell>
          <cell r="F23">
            <v>55</v>
          </cell>
        </row>
        <row r="24">
          <cell r="E24">
            <v>167</v>
          </cell>
          <cell r="F24">
            <v>115</v>
          </cell>
        </row>
        <row r="25">
          <cell r="E25">
            <v>186</v>
          </cell>
          <cell r="F25">
            <v>115</v>
          </cell>
        </row>
        <row r="26">
          <cell r="E26">
            <v>186</v>
          </cell>
          <cell r="F26">
            <v>65</v>
          </cell>
        </row>
        <row r="27">
          <cell r="E27">
            <v>186</v>
          </cell>
          <cell r="F27">
            <v>62</v>
          </cell>
        </row>
        <row r="28">
          <cell r="E28">
            <v>166</v>
          </cell>
          <cell r="F28">
            <v>69</v>
          </cell>
        </row>
        <row r="29">
          <cell r="E29">
            <v>166</v>
          </cell>
          <cell r="F29">
            <v>80</v>
          </cell>
        </row>
        <row r="30">
          <cell r="E30">
            <v>155</v>
          </cell>
          <cell r="F30">
            <v>101</v>
          </cell>
        </row>
        <row r="31">
          <cell r="E31">
            <v>170</v>
          </cell>
          <cell r="F31">
            <v>46</v>
          </cell>
        </row>
        <row r="32">
          <cell r="E32">
            <v>170</v>
          </cell>
          <cell r="F32">
            <v>89</v>
          </cell>
        </row>
        <row r="33">
          <cell r="E33">
            <v>178</v>
          </cell>
          <cell r="F33">
            <v>89</v>
          </cell>
        </row>
        <row r="34">
          <cell r="E34">
            <v>178</v>
          </cell>
          <cell r="F34">
            <v>54</v>
          </cell>
        </row>
        <row r="35">
          <cell r="E35">
            <v>178</v>
          </cell>
          <cell r="F35">
            <v>54</v>
          </cell>
        </row>
        <row r="36">
          <cell r="E36">
            <v>180</v>
          </cell>
          <cell r="F36">
            <v>76</v>
          </cell>
        </row>
        <row r="37">
          <cell r="E37">
            <v>180</v>
          </cell>
          <cell r="F37">
            <v>103</v>
          </cell>
        </row>
        <row r="38">
          <cell r="E38">
            <v>159</v>
          </cell>
          <cell r="F38">
            <v>76</v>
          </cell>
        </row>
        <row r="39">
          <cell r="E39">
            <v>178</v>
          </cell>
          <cell r="F39">
            <v>90</v>
          </cell>
        </row>
        <row r="40">
          <cell r="E40">
            <v>178</v>
          </cell>
          <cell r="F40">
            <v>96</v>
          </cell>
        </row>
        <row r="41">
          <cell r="E41">
            <v>178</v>
          </cell>
          <cell r="F41">
            <v>87</v>
          </cell>
        </row>
        <row r="42">
          <cell r="E42">
            <v>178</v>
          </cell>
          <cell r="F42">
            <v>62</v>
          </cell>
        </row>
        <row r="43">
          <cell r="E43">
            <v>179</v>
          </cell>
          <cell r="F43">
            <v>68</v>
          </cell>
        </row>
        <row r="44">
          <cell r="E44">
            <v>196</v>
          </cell>
          <cell r="F44">
            <v>65</v>
          </cell>
        </row>
        <row r="45">
          <cell r="E45">
            <v>161</v>
          </cell>
          <cell r="F45">
            <v>65</v>
          </cell>
        </row>
        <row r="46">
          <cell r="E46">
            <v>161</v>
          </cell>
          <cell r="F46">
            <v>76</v>
          </cell>
        </row>
        <row r="47">
          <cell r="E47">
            <v>171</v>
          </cell>
          <cell r="F47">
            <v>76</v>
          </cell>
        </row>
        <row r="48">
          <cell r="E48">
            <v>171</v>
          </cell>
          <cell r="F48">
            <v>86</v>
          </cell>
        </row>
        <row r="49">
          <cell r="E49">
            <v>191</v>
          </cell>
          <cell r="F49">
            <v>80</v>
          </cell>
        </row>
        <row r="50">
          <cell r="E50">
            <v>191</v>
          </cell>
          <cell r="F50">
            <v>87</v>
          </cell>
        </row>
        <row r="51">
          <cell r="E51">
            <v>167</v>
          </cell>
          <cell r="F51">
            <v>87</v>
          </cell>
        </row>
        <row r="52">
          <cell r="E52">
            <v>120</v>
          </cell>
          <cell r="F52">
            <v>20</v>
          </cell>
        </row>
        <row r="53">
          <cell r="E53">
            <v>145</v>
          </cell>
          <cell r="F53">
            <v>42</v>
          </cell>
        </row>
        <row r="54">
          <cell r="E54">
            <v>145</v>
          </cell>
          <cell r="F54">
            <v>68</v>
          </cell>
        </row>
        <row r="55">
          <cell r="E55">
            <v>172</v>
          </cell>
          <cell r="F55">
            <v>104</v>
          </cell>
        </row>
        <row r="56">
          <cell r="E56">
            <v>192</v>
          </cell>
          <cell r="F56">
            <v>110</v>
          </cell>
        </row>
        <row r="57">
          <cell r="E57">
            <v>192</v>
          </cell>
          <cell r="F57">
            <v>89</v>
          </cell>
        </row>
        <row r="58">
          <cell r="E58">
            <v>162</v>
          </cell>
          <cell r="F58">
            <v>93</v>
          </cell>
        </row>
        <row r="59">
          <cell r="E59">
            <v>162</v>
          </cell>
          <cell r="F59">
            <v>93</v>
          </cell>
        </row>
        <row r="60">
          <cell r="E60">
            <v>162</v>
          </cell>
          <cell r="F60">
            <v>65</v>
          </cell>
        </row>
        <row r="61">
          <cell r="E61">
            <v>162</v>
          </cell>
          <cell r="F61">
            <v>65</v>
          </cell>
        </row>
        <row r="62">
          <cell r="E62">
            <v>187</v>
          </cell>
          <cell r="F62">
            <v>71</v>
          </cell>
        </row>
        <row r="63">
          <cell r="E63">
            <v>187</v>
          </cell>
          <cell r="F63">
            <v>91</v>
          </cell>
        </row>
        <row r="64">
          <cell r="E64">
            <v>187</v>
          </cell>
          <cell r="F64">
            <v>91</v>
          </cell>
        </row>
        <row r="65">
          <cell r="E65">
            <v>187</v>
          </cell>
          <cell r="F65">
            <v>91</v>
          </cell>
        </row>
        <row r="66">
          <cell r="E66">
            <v>187</v>
          </cell>
          <cell r="F66">
            <v>91</v>
          </cell>
        </row>
        <row r="67">
          <cell r="E67">
            <v>187</v>
          </cell>
          <cell r="F67">
            <v>91</v>
          </cell>
        </row>
        <row r="68">
          <cell r="E68">
            <v>187</v>
          </cell>
          <cell r="F68">
            <v>91</v>
          </cell>
        </row>
        <row r="69">
          <cell r="E69">
            <v>187</v>
          </cell>
          <cell r="F69">
            <v>91</v>
          </cell>
        </row>
        <row r="70">
          <cell r="E70">
            <v>187</v>
          </cell>
          <cell r="F70">
            <v>91</v>
          </cell>
        </row>
        <row r="71">
          <cell r="E71">
            <v>187</v>
          </cell>
          <cell r="F71">
            <v>61</v>
          </cell>
        </row>
        <row r="72">
          <cell r="E72">
            <v>187</v>
          </cell>
          <cell r="F72">
            <v>61</v>
          </cell>
        </row>
        <row r="73">
          <cell r="E73">
            <v>187</v>
          </cell>
          <cell r="F73">
            <v>61</v>
          </cell>
        </row>
        <row r="74">
          <cell r="E74">
            <v>195</v>
          </cell>
          <cell r="F74">
            <v>61</v>
          </cell>
        </row>
        <row r="75">
          <cell r="E75">
            <v>195</v>
          </cell>
          <cell r="F75">
            <v>87</v>
          </cell>
        </row>
        <row r="76">
          <cell r="E76">
            <v>195</v>
          </cell>
          <cell r="F76">
            <v>87</v>
          </cell>
        </row>
        <row r="77">
          <cell r="E77">
            <v>195</v>
          </cell>
          <cell r="F77">
            <v>87</v>
          </cell>
        </row>
        <row r="78">
          <cell r="E78">
            <v>156</v>
          </cell>
          <cell r="F78">
            <v>87</v>
          </cell>
        </row>
        <row r="79">
          <cell r="E79">
            <v>156</v>
          </cell>
          <cell r="F79">
            <v>80</v>
          </cell>
        </row>
        <row r="80">
          <cell r="E80">
            <v>156</v>
          </cell>
          <cell r="F80">
            <v>80</v>
          </cell>
        </row>
        <row r="81">
          <cell r="E81">
            <v>156</v>
          </cell>
          <cell r="F81">
            <v>80</v>
          </cell>
        </row>
        <row r="82">
          <cell r="E82">
            <v>156</v>
          </cell>
          <cell r="F82">
            <v>56</v>
          </cell>
        </row>
        <row r="83">
          <cell r="E83">
            <v>176</v>
          </cell>
          <cell r="F83">
            <v>40</v>
          </cell>
        </row>
        <row r="84">
          <cell r="E84">
            <v>195</v>
          </cell>
          <cell r="F84">
            <v>51</v>
          </cell>
        </row>
        <row r="85">
          <cell r="E85">
            <v>195</v>
          </cell>
          <cell r="F85">
            <v>51</v>
          </cell>
        </row>
        <row r="86">
          <cell r="E86">
            <v>185</v>
          </cell>
          <cell r="F86">
            <v>71</v>
          </cell>
        </row>
        <row r="87">
          <cell r="E87">
            <v>155</v>
          </cell>
          <cell r="F87">
            <v>71</v>
          </cell>
        </row>
        <row r="88">
          <cell r="E88">
            <v>155</v>
          </cell>
          <cell r="F88">
            <v>71</v>
          </cell>
        </row>
        <row r="89">
          <cell r="E89">
            <v>165</v>
          </cell>
          <cell r="F89">
            <v>71</v>
          </cell>
        </row>
        <row r="90">
          <cell r="E90">
            <v>165</v>
          </cell>
          <cell r="F90">
            <v>81</v>
          </cell>
        </row>
        <row r="91">
          <cell r="E91">
            <v>175</v>
          </cell>
          <cell r="F91">
            <v>91</v>
          </cell>
        </row>
        <row r="92">
          <cell r="E92">
            <v>160</v>
          </cell>
          <cell r="F92">
            <v>91</v>
          </cell>
        </row>
        <row r="93">
          <cell r="E93">
            <v>173</v>
          </cell>
          <cell r="F93">
            <v>72</v>
          </cell>
        </row>
        <row r="94">
          <cell r="E94">
            <v>187</v>
          </cell>
          <cell r="F94">
            <v>59</v>
          </cell>
        </row>
        <row r="95">
          <cell r="E95">
            <v>180</v>
          </cell>
          <cell r="F95">
            <v>91</v>
          </cell>
        </row>
        <row r="96">
          <cell r="E96">
            <v>180</v>
          </cell>
          <cell r="F96">
            <v>54</v>
          </cell>
        </row>
        <row r="97">
          <cell r="E97">
            <v>180</v>
          </cell>
          <cell r="F97">
            <v>84</v>
          </cell>
        </row>
        <row r="98">
          <cell r="E98">
            <v>180</v>
          </cell>
          <cell r="F98">
            <v>84</v>
          </cell>
        </row>
        <row r="99">
          <cell r="E99">
            <v>165</v>
          </cell>
          <cell r="F99">
            <v>96</v>
          </cell>
        </row>
        <row r="100">
          <cell r="E100">
            <v>165</v>
          </cell>
          <cell r="F100">
            <v>61</v>
          </cell>
        </row>
        <row r="101">
          <cell r="E101">
            <v>117</v>
          </cell>
          <cell r="F101">
            <v>116</v>
          </cell>
        </row>
      </sheetData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0DBD283-61CE-47E9-A458-4A5E7AE306B9}" name="Tableau3" displayName="Tableau3" ref="A1:V104" totalsRowShown="0" headerRowDxfId="50" headerRowBorderDxfId="49" tableBorderDxfId="48">
  <autoFilter ref="A1:V104" xr:uid="{2453D75C-E5FA-4D30-9A96-501B20F0BDE3}"/>
  <tableColumns count="22">
    <tableColumn id="1" xr3:uid="{6CA80A40-7A56-4E97-AD23-A86ED2B150AB}" name="Id Patients" dataDxfId="47">
      <calculatedColumnFormula>1+SUM(A1)</calculatedColumnFormula>
    </tableColumn>
    <tableColumn id="2" xr3:uid="{85CAAD1A-8B69-4902-8DA6-C353C2BDE46C}" name="Bras Trait" dataDxfId="46"/>
    <tableColumn id="3" xr3:uid="{52408AC9-2552-44FC-97C6-A2012957A0A4}" name="Sexe" dataDxfId="45"/>
    <tableColumn id="4" xr3:uid="{57AABF0E-DEF8-4AF2-8C13-7A9F76665B50}" name="Date Naiss" dataDxfId="44"/>
    <tableColumn id="5" xr3:uid="{EBC11ED8-0669-4705-8FB4-41364B7CE51B}" name="Taille" dataDxfId="43"/>
    <tableColumn id="6" xr3:uid="{0F6CCE8C-D7D6-42F9-B929-3B2435A24083}" name="Poids" dataDxfId="42"/>
    <tableColumn id="7" xr3:uid="{DBB5CE9D-5C72-4AF5-BFEB-1CCD8917C7B6}" name="Resultat TG" dataDxfId="41"/>
    <tableColumn id="8" xr3:uid="{06A0EEBA-1C6E-48A3-B9BD-7E63515DBB9D}" name="G Epaisse" dataDxfId="40"/>
    <tableColumn id="9" xr3:uid="{5F9EA08D-C8AB-4EFD-87CC-DB9023E639E5}" name="Parasitemie" dataDxfId="39"/>
    <tableColumn id="10" xr3:uid="{1461EC25-346C-414F-B4AD-A5F54535E2D6}" name="Spot Sang" dataDxfId="38"/>
    <tableColumn id="11" xr3:uid="{5CDB0F4D-A271-48F5-87B3-AEF227AAF466}" name="E Indesirables" dataDxfId="37"/>
    <tableColumn id="12" xr3:uid="{E307C3E5-2A0B-491A-B22A-72EDCA99E96F}" name="Médicaments" dataDxfId="36"/>
    <tableColumn id="13" xr3:uid="{2E600EBA-0F66-42D0-B646-9EB5E85466F8}" name="Description"/>
    <tableColumn id="14" xr3:uid="{30846976-EC01-453E-B577-6CBC12F585C2}" name="Date_Debut" dataDxfId="35"/>
    <tableColumn id="15" xr3:uid="{C1E2925F-CA55-44A3-BCAC-7602AC97B365}" name="Date_Fin" dataDxfId="34"/>
    <tableColumn id="16" xr3:uid="{3883ED0C-3A41-488A-B962-ECEBD1127A55}" name="Intensité" dataDxfId="33"/>
    <tableColumn id="17" xr3:uid="{09DBA34C-645F-459E-9580-7E28E9696A33}" name="Gravité" dataDxfId="32"/>
    <tableColumn id="18" xr3:uid="{78B0AB94-A872-42BA-9689-9429D670A319}" name="Action" dataDxfId="31"/>
    <tableColumn id="19" xr3:uid="{284D1B44-6B9B-445D-A52C-41DD2A4AA4C0}" name="Développement" dataDxfId="30"/>
    <tableColumn id="20" xr3:uid="{AF2ABF4E-C890-4A8F-8296-844741B4D1F3}" name="Relation" dataDxfId="29"/>
    <tableColumn id="21" xr3:uid="{57FEFA20-F550-4707-AB42-A6BFC09E7B35}" name="IMC" dataDxfId="28">
      <calculatedColumnFormula>Imc(F2,E2)</calculatedColumnFormula>
    </tableColumn>
    <tableColumn id="22" xr3:uid="{D44FB514-ADF1-4947-8573-DD0898D79CD2}" name="Nature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697751-D11A-4777-A626-D788ACE9730B}" name="Tableau1" displayName="Tableau1" ref="A1:V102" totalsRowShown="0" headerRowDxfId="26" dataDxfId="24" headerRowBorderDxfId="25" tableBorderDxfId="23" totalsRowBorderDxfId="22">
  <autoFilter ref="A1:V102" xr:uid="{219B9B1C-87CE-4022-9056-0F9CEBDCC7DD}"/>
  <tableColumns count="22">
    <tableColumn id="1" xr3:uid="{33E646B5-5101-4A39-9513-41916151C647}" name="Id Patients" dataDxfId="21">
      <calculatedColumnFormula>1+SUM(A1)</calculatedColumnFormula>
    </tableColumn>
    <tableColumn id="2" xr3:uid="{1EAAA21D-81AB-4405-8F2E-DEA980425C64}" name="Bras Trait" dataDxfId="20"/>
    <tableColumn id="3" xr3:uid="{D7DFE4BE-A811-4DF2-8231-04A6F465B1DA}" name="Sexe" dataDxfId="19"/>
    <tableColumn id="4" xr3:uid="{3B155C71-607B-4E8A-B628-CD1C1101FEE2}" name="Date Naiss" dataDxfId="18"/>
    <tableColumn id="5" xr3:uid="{FB138B6A-A859-4FB9-AD90-15C4ED2AD3BD}" name="Taille" dataDxfId="17"/>
    <tableColumn id="6" xr3:uid="{203CE488-91D8-4127-BCCE-09D982938F3B}" name="Poids" dataDxfId="16"/>
    <tableColumn id="7" xr3:uid="{DF7BF13C-AA11-4352-B83B-11E599D786A3}" name="Resultat TG" dataDxfId="15"/>
    <tableColumn id="8" xr3:uid="{5834C542-17DD-44D4-9984-ABCBF62A4C38}" name="G Epaisse" dataDxfId="14"/>
    <tableColumn id="9" xr3:uid="{1E76B84D-5BDC-44E4-9050-A1FB38FA11DA}" name="Parasitemie" dataDxfId="13"/>
    <tableColumn id="10" xr3:uid="{720DE947-8EBA-4791-8179-0E6DBFC8E698}" name="Spot Sang" dataDxfId="12"/>
    <tableColumn id="11" xr3:uid="{EA2D1A24-7529-420D-AECB-788ABE62798F}" name="E Indesirables" dataDxfId="11"/>
    <tableColumn id="12" xr3:uid="{C933D76C-4D40-467B-B0C0-CA790A80F425}" name="Médicaments" dataDxfId="10"/>
    <tableColumn id="13" xr3:uid="{07505FA8-F75B-4BB6-9F99-DA80C736E747}" name="Description" dataDxfId="9"/>
    <tableColumn id="14" xr3:uid="{418079B3-8CA1-4B73-8A0D-B44F1949D036}" name="Date_Debut" dataDxfId="8"/>
    <tableColumn id="15" xr3:uid="{B0C452F3-11CD-4515-9728-648DD619A646}" name="Date_Fin" dataDxfId="7"/>
    <tableColumn id="16" xr3:uid="{1C2A1C1E-C22A-4DC3-8218-B04FA70EA260}" name="Intensité" dataDxfId="6"/>
    <tableColumn id="17" xr3:uid="{089B1B5D-4C3E-4A31-8371-796E74BE550C}" name="Gravité" dataDxfId="5"/>
    <tableColumn id="18" xr3:uid="{85378A6A-00EE-48B7-B5A9-F0C5A985614E}" name="Action" dataDxfId="4"/>
    <tableColumn id="19" xr3:uid="{EB8D47FA-1380-4806-9365-60561EE3CF7C}" name="Développement" dataDxfId="3"/>
    <tableColumn id="20" xr3:uid="{8C61F455-1A47-4B51-AA54-982F1BD12BD6}" name="Relation" dataDxfId="2"/>
    <tableColumn id="21" xr3:uid="{80FF083F-FBF8-4AC8-A2F1-C6116340FFF7}" name="IMC" dataDxfId="1">
      <calculatedColumnFormula>Imc(F2,E2)</calculatedColumnFormula>
    </tableColumn>
    <tableColumn id="22" xr3:uid="{4A60F53B-E520-46A7-92D8-724F5B099DB4}" name="Natur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296C4-6864-4A45-A2F9-172EE6A376B6}">
  <sheetPr codeName="Feuil1"/>
  <dimension ref="A1:V104"/>
  <sheetViews>
    <sheetView tabSelected="1" workbookViewId="0">
      <pane ySplit="1" topLeftCell="A81" activePane="bottomLeft" state="frozen"/>
      <selection pane="bottomLeft" activeCell="E107" sqref="E107"/>
    </sheetView>
  </sheetViews>
  <sheetFormatPr baseColWidth="10" defaultRowHeight="15" x14ac:dyDescent="0.25"/>
  <cols>
    <col min="1" max="1" width="12.5703125" customWidth="1"/>
    <col min="4" max="4" width="12.42578125" customWidth="1"/>
    <col min="7" max="7" width="13.28515625" customWidth="1"/>
    <col min="8" max="8" width="11.5703125" customWidth="1"/>
    <col min="9" max="9" width="13.7109375" customWidth="1"/>
    <col min="10" max="10" width="11.7109375" customWidth="1"/>
    <col min="11" max="11" width="16.5703125" customWidth="1"/>
    <col min="12" max="12" width="15.28515625" customWidth="1"/>
    <col min="13" max="13" width="16.42578125" customWidth="1"/>
    <col min="14" max="14" width="23.7109375" customWidth="1"/>
    <col min="18" max="18" width="27.42578125" customWidth="1"/>
    <col min="19" max="19" width="26.42578125" customWidth="1"/>
    <col min="20" max="20" width="24.42578125" customWidth="1"/>
    <col min="22" max="22" width="28.85546875" customWidth="1"/>
  </cols>
  <sheetData>
    <row r="1" spans="1:22" x14ac:dyDescent="0.25">
      <c r="A1" s="9" t="s">
        <v>2</v>
      </c>
      <c r="B1" s="10" t="s">
        <v>3</v>
      </c>
      <c r="C1" s="10" t="s">
        <v>4</v>
      </c>
      <c r="D1" s="10" t="s">
        <v>5</v>
      </c>
      <c r="E1" s="10" t="s">
        <v>0</v>
      </c>
      <c r="F1" s="10" t="s">
        <v>1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11" t="s">
        <v>19</v>
      </c>
      <c r="U1" s="10" t="s">
        <v>106</v>
      </c>
      <c r="V1" s="11" t="s">
        <v>107</v>
      </c>
    </row>
    <row r="2" spans="1:22" x14ac:dyDescent="0.25">
      <c r="A2" s="37">
        <v>1</v>
      </c>
      <c r="B2" s="21" t="s">
        <v>20</v>
      </c>
      <c r="C2" s="21" t="s">
        <v>21</v>
      </c>
      <c r="D2" s="22">
        <v>38006</v>
      </c>
      <c r="E2" s="21">
        <v>165</v>
      </c>
      <c r="F2" s="21">
        <v>55</v>
      </c>
      <c r="G2" s="21" t="s">
        <v>22</v>
      </c>
      <c r="H2" s="21" t="s">
        <v>22</v>
      </c>
      <c r="I2" s="21">
        <v>12</v>
      </c>
      <c r="J2" s="21" t="s">
        <v>29</v>
      </c>
      <c r="K2" s="27" t="s">
        <v>29</v>
      </c>
      <c r="L2" s="21" t="s">
        <v>23</v>
      </c>
      <c r="M2" s="23" t="s">
        <v>24</v>
      </c>
      <c r="N2" s="22">
        <v>43831</v>
      </c>
      <c r="O2" s="22">
        <v>43840</v>
      </c>
      <c r="P2" s="21" t="s">
        <v>25</v>
      </c>
      <c r="Q2" s="21" t="s">
        <v>26</v>
      </c>
      <c r="R2" s="21" t="s">
        <v>27</v>
      </c>
      <c r="S2" s="24" t="s">
        <v>28</v>
      </c>
      <c r="T2" s="25" t="s">
        <v>29</v>
      </c>
      <c r="U2" s="26">
        <f t="shared" ref="U2:U65" si="0">Imc(F2,E2)</f>
        <v>20.202020202020204</v>
      </c>
      <c r="V2" s="40" t="s">
        <v>108</v>
      </c>
    </row>
    <row r="3" spans="1:22" x14ac:dyDescent="0.25">
      <c r="A3" s="38">
        <f t="shared" ref="A3:A34" si="1">1+SUM(A2)</f>
        <v>2</v>
      </c>
      <c r="B3" s="27" t="s">
        <v>20</v>
      </c>
      <c r="C3" s="27" t="s">
        <v>30</v>
      </c>
      <c r="D3" s="28">
        <v>36514</v>
      </c>
      <c r="E3" s="27">
        <v>180</v>
      </c>
      <c r="F3" s="27">
        <v>70</v>
      </c>
      <c r="G3" s="27" t="s">
        <v>31</v>
      </c>
      <c r="H3" s="27" t="s">
        <v>22</v>
      </c>
      <c r="I3" s="27">
        <v>12</v>
      </c>
      <c r="J3" s="27" t="s">
        <v>124</v>
      </c>
      <c r="K3" s="27" t="s">
        <v>29</v>
      </c>
      <c r="L3" s="27" t="s">
        <v>32</v>
      </c>
      <c r="M3" s="29" t="s">
        <v>33</v>
      </c>
      <c r="N3" s="28">
        <v>43863</v>
      </c>
      <c r="O3" s="28">
        <v>43878</v>
      </c>
      <c r="P3" s="27" t="s">
        <v>25</v>
      </c>
      <c r="Q3" s="27" t="s">
        <v>26</v>
      </c>
      <c r="R3" s="27" t="s">
        <v>34</v>
      </c>
      <c r="S3" s="30" t="s">
        <v>28</v>
      </c>
      <c r="T3" s="31" t="s">
        <v>29</v>
      </c>
      <c r="U3" s="27">
        <f t="shared" si="0"/>
        <v>21.604938271604937</v>
      </c>
      <c r="V3" s="41" t="s">
        <v>108</v>
      </c>
    </row>
    <row r="4" spans="1:22" x14ac:dyDescent="0.25">
      <c r="A4" s="37">
        <f t="shared" si="1"/>
        <v>3</v>
      </c>
      <c r="B4" s="21" t="s">
        <v>20</v>
      </c>
      <c r="C4" s="21" t="s">
        <v>30</v>
      </c>
      <c r="D4" s="22">
        <v>32874</v>
      </c>
      <c r="E4" s="21">
        <v>169</v>
      </c>
      <c r="F4" s="21">
        <v>80</v>
      </c>
      <c r="G4" s="21" t="s">
        <v>31</v>
      </c>
      <c r="H4" s="21" t="s">
        <v>35</v>
      </c>
      <c r="I4" s="21">
        <v>15</v>
      </c>
      <c r="J4" s="27" t="s">
        <v>124</v>
      </c>
      <c r="K4" s="27" t="s">
        <v>29</v>
      </c>
      <c r="L4" s="21" t="s">
        <v>36</v>
      </c>
      <c r="M4" s="23" t="s">
        <v>37</v>
      </c>
      <c r="N4" s="22">
        <v>43772</v>
      </c>
      <c r="O4" s="22">
        <v>43837</v>
      </c>
      <c r="P4" s="21" t="s">
        <v>38</v>
      </c>
      <c r="Q4" s="21" t="s">
        <v>26</v>
      </c>
      <c r="R4" s="21" t="s">
        <v>27</v>
      </c>
      <c r="S4" s="24" t="s">
        <v>28</v>
      </c>
      <c r="T4" s="25" t="s">
        <v>29</v>
      </c>
      <c r="U4" s="21">
        <f t="shared" si="0"/>
        <v>28.010223731662059</v>
      </c>
      <c r="V4" s="40" t="s">
        <v>109</v>
      </c>
    </row>
    <row r="5" spans="1:22" x14ac:dyDescent="0.25">
      <c r="A5" s="38">
        <f t="shared" si="1"/>
        <v>4</v>
      </c>
      <c r="B5" s="27" t="s">
        <v>39</v>
      </c>
      <c r="C5" s="27" t="s">
        <v>21</v>
      </c>
      <c r="D5" s="28">
        <v>33270</v>
      </c>
      <c r="E5" s="27">
        <v>187</v>
      </c>
      <c r="F5" s="27">
        <v>76</v>
      </c>
      <c r="G5" s="27" t="s">
        <v>35</v>
      </c>
      <c r="H5" s="27" t="s">
        <v>22</v>
      </c>
      <c r="I5" s="27">
        <v>20</v>
      </c>
      <c r="J5" s="27" t="s">
        <v>124</v>
      </c>
      <c r="K5" s="27" t="s">
        <v>29</v>
      </c>
      <c r="L5" s="27" t="s">
        <v>40</v>
      </c>
      <c r="M5" s="29" t="s">
        <v>41</v>
      </c>
      <c r="N5" s="28">
        <v>43878</v>
      </c>
      <c r="O5" s="28">
        <v>43893</v>
      </c>
      <c r="P5" s="27" t="s">
        <v>42</v>
      </c>
      <c r="Q5" s="27" t="s">
        <v>43</v>
      </c>
      <c r="R5" s="27" t="s">
        <v>44</v>
      </c>
      <c r="S5" s="30" t="s">
        <v>28</v>
      </c>
      <c r="T5" s="31" t="s">
        <v>45</v>
      </c>
      <c r="U5" s="27">
        <f t="shared" si="0"/>
        <v>21.733535417083701</v>
      </c>
      <c r="V5" s="41" t="s">
        <v>108</v>
      </c>
    </row>
    <row r="6" spans="1:22" x14ac:dyDescent="0.25">
      <c r="A6" s="37">
        <f t="shared" si="1"/>
        <v>5</v>
      </c>
      <c r="B6" s="21" t="s">
        <v>39</v>
      </c>
      <c r="C6" s="21" t="s">
        <v>30</v>
      </c>
      <c r="D6" s="22">
        <v>33317</v>
      </c>
      <c r="E6" s="21">
        <v>182</v>
      </c>
      <c r="F6" s="21">
        <v>93</v>
      </c>
      <c r="G6" s="21" t="s">
        <v>31</v>
      </c>
      <c r="H6" s="21" t="s">
        <v>22</v>
      </c>
      <c r="I6" s="21">
        <v>0</v>
      </c>
      <c r="J6" s="27" t="s">
        <v>124</v>
      </c>
      <c r="K6" s="27" t="s">
        <v>29</v>
      </c>
      <c r="L6" s="21" t="s">
        <v>46</v>
      </c>
      <c r="M6" s="23" t="s">
        <v>47</v>
      </c>
      <c r="N6" s="22">
        <v>43604</v>
      </c>
      <c r="O6" s="22">
        <v>43610</v>
      </c>
      <c r="P6" s="21" t="s">
        <v>25</v>
      </c>
      <c r="Q6" s="21" t="s">
        <v>26</v>
      </c>
      <c r="R6" s="21" t="s">
        <v>34</v>
      </c>
      <c r="S6" s="24" t="s">
        <v>48</v>
      </c>
      <c r="T6" s="25" t="s">
        <v>49</v>
      </c>
      <c r="U6" s="21">
        <f t="shared" si="0"/>
        <v>28.076319285110493</v>
      </c>
      <c r="V6" s="40" t="s">
        <v>109</v>
      </c>
    </row>
    <row r="7" spans="1:22" x14ac:dyDescent="0.25">
      <c r="A7" s="38">
        <f t="shared" si="1"/>
        <v>6</v>
      </c>
      <c r="B7" s="27" t="s">
        <v>20</v>
      </c>
      <c r="C7" s="27" t="s">
        <v>21</v>
      </c>
      <c r="D7" s="28">
        <v>32518</v>
      </c>
      <c r="E7" s="27">
        <v>171</v>
      </c>
      <c r="F7" s="27">
        <v>90</v>
      </c>
      <c r="G7" s="27" t="s">
        <v>35</v>
      </c>
      <c r="H7" s="27" t="s">
        <v>22</v>
      </c>
      <c r="I7" s="27">
        <v>20</v>
      </c>
      <c r="J7" s="27" t="s">
        <v>124</v>
      </c>
      <c r="K7" s="27" t="s">
        <v>29</v>
      </c>
      <c r="L7" s="27" t="s">
        <v>50</v>
      </c>
      <c r="M7" s="29" t="s">
        <v>51</v>
      </c>
      <c r="N7" s="28">
        <v>43772</v>
      </c>
      <c r="O7" s="28">
        <v>43837</v>
      </c>
      <c r="P7" s="27" t="s">
        <v>42</v>
      </c>
      <c r="Q7" s="27" t="s">
        <v>26</v>
      </c>
      <c r="R7" s="27" t="s">
        <v>52</v>
      </c>
      <c r="S7" s="30" t="s">
        <v>53</v>
      </c>
      <c r="T7" s="31" t="s">
        <v>29</v>
      </c>
      <c r="U7" s="27">
        <f t="shared" si="0"/>
        <v>30.778701138811947</v>
      </c>
      <c r="V7" s="41" t="s">
        <v>113</v>
      </c>
    </row>
    <row r="8" spans="1:22" x14ac:dyDescent="0.25">
      <c r="A8" s="37">
        <f t="shared" si="1"/>
        <v>7</v>
      </c>
      <c r="B8" s="21" t="s">
        <v>39</v>
      </c>
      <c r="C8" s="21" t="s">
        <v>30</v>
      </c>
      <c r="D8" s="22">
        <v>36453</v>
      </c>
      <c r="E8" s="21">
        <v>175</v>
      </c>
      <c r="F8" s="21">
        <v>55</v>
      </c>
      <c r="G8" s="21" t="s">
        <v>31</v>
      </c>
      <c r="H8" s="21" t="s">
        <v>22</v>
      </c>
      <c r="I8" s="21">
        <v>23</v>
      </c>
      <c r="J8" s="27" t="s">
        <v>124</v>
      </c>
      <c r="K8" s="27" t="s">
        <v>29</v>
      </c>
      <c r="L8" s="21" t="s">
        <v>97</v>
      </c>
      <c r="M8" s="23" t="s">
        <v>54</v>
      </c>
      <c r="N8" s="22">
        <v>43860</v>
      </c>
      <c r="O8" s="22">
        <v>43895</v>
      </c>
      <c r="P8" s="21" t="s">
        <v>38</v>
      </c>
      <c r="Q8" s="21" t="s">
        <v>26</v>
      </c>
      <c r="R8" s="21" t="s">
        <v>27</v>
      </c>
      <c r="S8" s="24" t="s">
        <v>48</v>
      </c>
      <c r="T8" s="25" t="s">
        <v>49</v>
      </c>
      <c r="U8" s="21">
        <f t="shared" si="0"/>
        <v>17.959183673469386</v>
      </c>
      <c r="V8" s="40" t="s">
        <v>112</v>
      </c>
    </row>
    <row r="9" spans="1:22" x14ac:dyDescent="0.25">
      <c r="A9" s="38">
        <f t="shared" si="1"/>
        <v>8</v>
      </c>
      <c r="B9" s="27" t="s">
        <v>20</v>
      </c>
      <c r="C9" s="27" t="s">
        <v>21</v>
      </c>
      <c r="D9" s="28">
        <v>28970</v>
      </c>
      <c r="E9" s="27">
        <v>181</v>
      </c>
      <c r="F9" s="27">
        <v>91</v>
      </c>
      <c r="G9" s="27" t="s">
        <v>35</v>
      </c>
      <c r="H9" s="27" t="s">
        <v>22</v>
      </c>
      <c r="I9" s="27">
        <v>0</v>
      </c>
      <c r="J9" s="27" t="s">
        <v>124</v>
      </c>
      <c r="K9" s="27" t="s">
        <v>29</v>
      </c>
      <c r="L9" s="27" t="s">
        <v>55</v>
      </c>
      <c r="M9" s="29" t="s">
        <v>56</v>
      </c>
      <c r="N9" s="28">
        <v>43863</v>
      </c>
      <c r="O9" s="28">
        <v>43878</v>
      </c>
      <c r="P9" s="27" t="s">
        <v>42</v>
      </c>
      <c r="Q9" s="27" t="s">
        <v>43</v>
      </c>
      <c r="R9" s="27" t="s">
        <v>52</v>
      </c>
      <c r="S9" s="30" t="s">
        <v>48</v>
      </c>
      <c r="T9" s="31" t="s">
        <v>29</v>
      </c>
      <c r="U9" s="27">
        <f t="shared" si="0"/>
        <v>27.776929886145112</v>
      </c>
      <c r="V9" s="41" t="s">
        <v>109</v>
      </c>
    </row>
    <row r="10" spans="1:22" x14ac:dyDescent="0.25">
      <c r="A10" s="37">
        <f t="shared" si="1"/>
        <v>9</v>
      </c>
      <c r="B10" s="21" t="s">
        <v>20</v>
      </c>
      <c r="C10" s="21" t="s">
        <v>30</v>
      </c>
      <c r="D10" s="22">
        <v>25577</v>
      </c>
      <c r="E10" s="21">
        <v>169</v>
      </c>
      <c r="F10" s="21">
        <v>60</v>
      </c>
      <c r="G10" s="21" t="s">
        <v>31</v>
      </c>
      <c r="H10" s="21" t="s">
        <v>35</v>
      </c>
      <c r="I10" s="21">
        <v>32</v>
      </c>
      <c r="J10" s="27" t="s">
        <v>124</v>
      </c>
      <c r="K10" s="27" t="s">
        <v>29</v>
      </c>
      <c r="L10" s="21" t="s">
        <v>36</v>
      </c>
      <c r="M10" s="23" t="s">
        <v>57</v>
      </c>
      <c r="N10" s="22">
        <v>43604</v>
      </c>
      <c r="O10" s="22">
        <v>43610</v>
      </c>
      <c r="P10" s="21" t="s">
        <v>42</v>
      </c>
      <c r="Q10" s="21" t="s">
        <v>43</v>
      </c>
      <c r="R10" s="21" t="s">
        <v>52</v>
      </c>
      <c r="S10" s="24" t="s">
        <v>53</v>
      </c>
      <c r="T10" s="25" t="s">
        <v>49</v>
      </c>
      <c r="U10" s="21">
        <f t="shared" si="0"/>
        <v>21.007667798746546</v>
      </c>
      <c r="V10" s="40" t="s">
        <v>108</v>
      </c>
    </row>
    <row r="11" spans="1:22" x14ac:dyDescent="0.25">
      <c r="A11" s="38">
        <f t="shared" si="1"/>
        <v>10</v>
      </c>
      <c r="B11" s="27" t="s">
        <v>20</v>
      </c>
      <c r="C11" s="27" t="s">
        <v>30</v>
      </c>
      <c r="D11" s="28">
        <v>32882</v>
      </c>
      <c r="E11" s="27">
        <v>190</v>
      </c>
      <c r="F11" s="27">
        <v>110</v>
      </c>
      <c r="G11" s="27" t="s">
        <v>31</v>
      </c>
      <c r="H11" s="27" t="s">
        <v>35</v>
      </c>
      <c r="I11" s="27">
        <v>35</v>
      </c>
      <c r="J11" s="27" t="s">
        <v>124</v>
      </c>
      <c r="K11" s="27" t="s">
        <v>29</v>
      </c>
      <c r="L11" s="27" t="s">
        <v>23</v>
      </c>
      <c r="M11" s="29" t="s">
        <v>58</v>
      </c>
      <c r="N11" s="28">
        <v>43878</v>
      </c>
      <c r="O11" s="28">
        <v>43893</v>
      </c>
      <c r="P11" s="27" t="s">
        <v>25</v>
      </c>
      <c r="Q11" s="27" t="s">
        <v>26</v>
      </c>
      <c r="R11" s="27" t="s">
        <v>27</v>
      </c>
      <c r="S11" s="30" t="s">
        <v>28</v>
      </c>
      <c r="T11" s="31" t="s">
        <v>45</v>
      </c>
      <c r="U11" s="27">
        <f t="shared" si="0"/>
        <v>30.470914127423825</v>
      </c>
      <c r="V11" s="41" t="s">
        <v>113</v>
      </c>
    </row>
    <row r="12" spans="1:22" x14ac:dyDescent="0.25">
      <c r="A12" s="37">
        <f t="shared" si="1"/>
        <v>11</v>
      </c>
      <c r="B12" s="21" t="s">
        <v>20</v>
      </c>
      <c r="C12" s="21" t="s">
        <v>21</v>
      </c>
      <c r="D12" s="22">
        <v>37557</v>
      </c>
      <c r="E12" s="21">
        <v>170</v>
      </c>
      <c r="F12" s="21">
        <v>45</v>
      </c>
      <c r="G12" s="21" t="s">
        <v>22</v>
      </c>
      <c r="H12" s="21" t="s">
        <v>22</v>
      </c>
      <c r="I12" s="21">
        <v>14</v>
      </c>
      <c r="J12" s="27" t="s">
        <v>124</v>
      </c>
      <c r="K12" s="27" t="s">
        <v>29</v>
      </c>
      <c r="L12" s="21" t="s">
        <v>59</v>
      </c>
      <c r="M12" s="23" t="s">
        <v>60</v>
      </c>
      <c r="N12" s="22">
        <v>43860</v>
      </c>
      <c r="O12" s="22">
        <v>43895</v>
      </c>
      <c r="P12" s="21" t="s">
        <v>38</v>
      </c>
      <c r="Q12" s="21" t="s">
        <v>26</v>
      </c>
      <c r="R12" s="21" t="s">
        <v>34</v>
      </c>
      <c r="S12" s="24" t="s">
        <v>28</v>
      </c>
      <c r="T12" s="25" t="s">
        <v>49</v>
      </c>
      <c r="U12" s="21">
        <f t="shared" si="0"/>
        <v>15.570934256055365</v>
      </c>
      <c r="V12" s="40" t="s">
        <v>111</v>
      </c>
    </row>
    <row r="13" spans="1:22" x14ac:dyDescent="0.25">
      <c r="A13" s="38">
        <f t="shared" si="1"/>
        <v>12</v>
      </c>
      <c r="B13" s="27" t="s">
        <v>20</v>
      </c>
      <c r="C13" s="27" t="s">
        <v>21</v>
      </c>
      <c r="D13" s="28">
        <v>36827</v>
      </c>
      <c r="E13" s="27">
        <v>170</v>
      </c>
      <c r="F13" s="27">
        <v>80</v>
      </c>
      <c r="G13" s="27" t="s">
        <v>22</v>
      </c>
      <c r="H13" s="27" t="s">
        <v>35</v>
      </c>
      <c r="I13" s="27">
        <v>1</v>
      </c>
      <c r="J13" s="27" t="s">
        <v>29</v>
      </c>
      <c r="K13" s="27" t="s">
        <v>29</v>
      </c>
      <c r="L13" s="27" t="s">
        <v>61</v>
      </c>
      <c r="M13" s="29" t="s">
        <v>60</v>
      </c>
      <c r="N13" s="28">
        <v>43831</v>
      </c>
      <c r="O13" s="28">
        <v>43855</v>
      </c>
      <c r="P13" s="27" t="s">
        <v>38</v>
      </c>
      <c r="Q13" s="27" t="s">
        <v>26</v>
      </c>
      <c r="R13" s="27" t="s">
        <v>34</v>
      </c>
      <c r="S13" s="30" t="s">
        <v>28</v>
      </c>
      <c r="T13" s="31" t="s">
        <v>29</v>
      </c>
      <c r="U13" s="27">
        <f t="shared" si="0"/>
        <v>27.681660899653981</v>
      </c>
      <c r="V13" s="41" t="s">
        <v>109</v>
      </c>
    </row>
    <row r="14" spans="1:22" x14ac:dyDescent="0.25">
      <c r="A14" s="37">
        <f t="shared" si="1"/>
        <v>13</v>
      </c>
      <c r="B14" s="21" t="s">
        <v>39</v>
      </c>
      <c r="C14" s="21" t="s">
        <v>30</v>
      </c>
      <c r="D14" s="22">
        <v>37165</v>
      </c>
      <c r="E14" s="21">
        <v>159</v>
      </c>
      <c r="F14" s="21">
        <v>80</v>
      </c>
      <c r="G14" s="21" t="s">
        <v>31</v>
      </c>
      <c r="H14" s="21" t="s">
        <v>35</v>
      </c>
      <c r="I14" s="21">
        <v>19</v>
      </c>
      <c r="J14" s="27" t="s">
        <v>124</v>
      </c>
      <c r="K14" s="27" t="s">
        <v>29</v>
      </c>
      <c r="L14" s="21" t="s">
        <v>62</v>
      </c>
      <c r="M14" s="23" t="s">
        <v>63</v>
      </c>
      <c r="N14" s="22">
        <v>43521</v>
      </c>
      <c r="O14" s="22">
        <v>43527</v>
      </c>
      <c r="P14" s="21" t="s">
        <v>38</v>
      </c>
      <c r="Q14" s="21" t="s">
        <v>43</v>
      </c>
      <c r="R14" s="21" t="s">
        <v>44</v>
      </c>
      <c r="S14" s="24" t="s">
        <v>48</v>
      </c>
      <c r="T14" s="25" t="s">
        <v>29</v>
      </c>
      <c r="U14" s="21">
        <f t="shared" si="0"/>
        <v>31.644317867172973</v>
      </c>
      <c r="V14" s="40" t="s">
        <v>113</v>
      </c>
    </row>
    <row r="15" spans="1:22" x14ac:dyDescent="0.25">
      <c r="A15" s="38">
        <f t="shared" si="1"/>
        <v>14</v>
      </c>
      <c r="B15" s="27" t="s">
        <v>39</v>
      </c>
      <c r="C15" s="27" t="s">
        <v>30</v>
      </c>
      <c r="D15" s="28">
        <v>35704</v>
      </c>
      <c r="E15" s="27">
        <v>182</v>
      </c>
      <c r="F15" s="27">
        <v>80</v>
      </c>
      <c r="G15" s="27" t="s">
        <v>31</v>
      </c>
      <c r="H15" s="27" t="s">
        <v>35</v>
      </c>
      <c r="I15" s="27">
        <v>0</v>
      </c>
      <c r="J15" s="27" t="s">
        <v>124</v>
      </c>
      <c r="K15" s="27" t="s">
        <v>29</v>
      </c>
      <c r="L15" s="27" t="s">
        <v>64</v>
      </c>
      <c r="M15" s="29" t="s">
        <v>65</v>
      </c>
      <c r="N15" s="28">
        <v>43604</v>
      </c>
      <c r="O15" s="28">
        <v>43610</v>
      </c>
      <c r="P15" s="27" t="s">
        <v>42</v>
      </c>
      <c r="Q15" s="27" t="s">
        <v>43</v>
      </c>
      <c r="R15" s="27" t="s">
        <v>44</v>
      </c>
      <c r="S15" s="30" t="s">
        <v>48</v>
      </c>
      <c r="T15" s="31" t="s">
        <v>29</v>
      </c>
      <c r="U15" s="27">
        <f t="shared" si="0"/>
        <v>24.151672503320853</v>
      </c>
      <c r="V15" s="41" t="s">
        <v>108</v>
      </c>
    </row>
    <row r="16" spans="1:22" x14ac:dyDescent="0.25">
      <c r="A16" s="37">
        <f t="shared" si="1"/>
        <v>15</v>
      </c>
      <c r="B16" s="21" t="s">
        <v>39</v>
      </c>
      <c r="C16" s="21" t="s">
        <v>30</v>
      </c>
      <c r="D16" s="22">
        <v>32051</v>
      </c>
      <c r="E16" s="21">
        <v>172</v>
      </c>
      <c r="F16" s="21">
        <v>110</v>
      </c>
      <c r="G16" s="21" t="s">
        <v>31</v>
      </c>
      <c r="H16" s="21" t="s">
        <v>22</v>
      </c>
      <c r="I16" s="21">
        <v>0</v>
      </c>
      <c r="J16" s="27" t="s">
        <v>124</v>
      </c>
      <c r="K16" s="27" t="s">
        <v>29</v>
      </c>
      <c r="L16" s="21" t="s">
        <v>66</v>
      </c>
      <c r="M16" s="24" t="s">
        <v>67</v>
      </c>
      <c r="N16" s="22">
        <v>43772</v>
      </c>
      <c r="O16" s="22">
        <v>43837</v>
      </c>
      <c r="P16" s="21" t="s">
        <v>42</v>
      </c>
      <c r="Q16" s="21" t="s">
        <v>43</v>
      </c>
      <c r="R16" s="21" t="s">
        <v>44</v>
      </c>
      <c r="S16" s="24" t="s">
        <v>28</v>
      </c>
      <c r="T16" s="25" t="s">
        <v>29</v>
      </c>
      <c r="U16" s="21">
        <f t="shared" si="0"/>
        <v>37.182260681449435</v>
      </c>
      <c r="V16" s="40" t="s">
        <v>114</v>
      </c>
    </row>
    <row r="17" spans="1:22" x14ac:dyDescent="0.25">
      <c r="A17" s="38">
        <f t="shared" si="1"/>
        <v>16</v>
      </c>
      <c r="B17" s="27" t="s">
        <v>20</v>
      </c>
      <c r="C17" s="27" t="s">
        <v>21</v>
      </c>
      <c r="D17" s="28">
        <v>21094</v>
      </c>
      <c r="E17" s="27">
        <v>172</v>
      </c>
      <c r="F17" s="27">
        <v>58</v>
      </c>
      <c r="G17" s="27" t="s">
        <v>35</v>
      </c>
      <c r="H17" s="27" t="s">
        <v>22</v>
      </c>
      <c r="I17" s="27">
        <v>0</v>
      </c>
      <c r="J17" s="27" t="s">
        <v>124</v>
      </c>
      <c r="K17" s="27" t="s">
        <v>29</v>
      </c>
      <c r="L17" s="27" t="s">
        <v>68</v>
      </c>
      <c r="M17" s="30" t="s">
        <v>69</v>
      </c>
      <c r="N17" s="28">
        <v>43683</v>
      </c>
      <c r="O17" s="28">
        <v>43710</v>
      </c>
      <c r="P17" s="27" t="s">
        <v>42</v>
      </c>
      <c r="Q17" s="27" t="s">
        <v>43</v>
      </c>
      <c r="R17" s="27" t="s">
        <v>52</v>
      </c>
      <c r="S17" s="30" t="s">
        <v>53</v>
      </c>
      <c r="T17" s="31" t="s">
        <v>29</v>
      </c>
      <c r="U17" s="27">
        <f t="shared" si="0"/>
        <v>19.605191995673341</v>
      </c>
      <c r="V17" s="41" t="s">
        <v>108</v>
      </c>
    </row>
    <row r="18" spans="1:22" x14ac:dyDescent="0.25">
      <c r="A18" s="37">
        <f t="shared" si="1"/>
        <v>17</v>
      </c>
      <c r="B18" s="21" t="s">
        <v>20</v>
      </c>
      <c r="C18" s="21" t="s">
        <v>21</v>
      </c>
      <c r="D18" s="22">
        <v>29495</v>
      </c>
      <c r="E18" s="21">
        <v>172</v>
      </c>
      <c r="F18" s="21">
        <v>78</v>
      </c>
      <c r="G18" s="21" t="s">
        <v>22</v>
      </c>
      <c r="H18" s="21" t="s">
        <v>22</v>
      </c>
      <c r="I18" s="21">
        <v>0</v>
      </c>
      <c r="J18" s="27" t="s">
        <v>124</v>
      </c>
      <c r="K18" s="27" t="s">
        <v>29</v>
      </c>
      <c r="L18" s="21" t="s">
        <v>70</v>
      </c>
      <c r="M18" s="24" t="s">
        <v>58</v>
      </c>
      <c r="N18" s="22">
        <v>43863</v>
      </c>
      <c r="O18" s="22">
        <v>43878</v>
      </c>
      <c r="P18" s="21" t="s">
        <v>25</v>
      </c>
      <c r="Q18" s="21" t="s">
        <v>43</v>
      </c>
      <c r="R18" s="21" t="s">
        <v>44</v>
      </c>
      <c r="S18" s="24" t="s">
        <v>28</v>
      </c>
      <c r="T18" s="25" t="s">
        <v>29</v>
      </c>
      <c r="U18" s="21">
        <f t="shared" si="0"/>
        <v>26.365603028664147</v>
      </c>
      <c r="V18" s="40" t="s">
        <v>109</v>
      </c>
    </row>
    <row r="19" spans="1:22" x14ac:dyDescent="0.25">
      <c r="A19" s="38">
        <f t="shared" si="1"/>
        <v>18</v>
      </c>
      <c r="B19" s="27" t="s">
        <v>20</v>
      </c>
      <c r="C19" s="27" t="s">
        <v>21</v>
      </c>
      <c r="D19" s="28">
        <v>32782</v>
      </c>
      <c r="E19" s="27">
        <v>155</v>
      </c>
      <c r="F19" s="27">
        <v>78</v>
      </c>
      <c r="G19" s="27" t="s">
        <v>22</v>
      </c>
      <c r="H19" s="27" t="s">
        <v>35</v>
      </c>
      <c r="I19" s="27">
        <v>0</v>
      </c>
      <c r="J19" s="27" t="s">
        <v>124</v>
      </c>
      <c r="K19" s="27" t="s">
        <v>29</v>
      </c>
      <c r="L19" s="27" t="s">
        <v>71</v>
      </c>
      <c r="M19" s="30" t="s">
        <v>72</v>
      </c>
      <c r="N19" s="28">
        <v>43860</v>
      </c>
      <c r="O19" s="28">
        <v>43895</v>
      </c>
      <c r="P19" s="27" t="s">
        <v>42</v>
      </c>
      <c r="Q19" s="27" t="s">
        <v>43</v>
      </c>
      <c r="R19" s="27" t="s">
        <v>44</v>
      </c>
      <c r="S19" s="30" t="s">
        <v>28</v>
      </c>
      <c r="T19" s="31" t="s">
        <v>29</v>
      </c>
      <c r="U19" s="27">
        <f t="shared" si="0"/>
        <v>32.46618106139438</v>
      </c>
      <c r="V19" s="41" t="s">
        <v>113</v>
      </c>
    </row>
    <row r="20" spans="1:22" x14ac:dyDescent="0.25">
      <c r="A20" s="37">
        <f t="shared" si="1"/>
        <v>19</v>
      </c>
      <c r="B20" s="21" t="s">
        <v>20</v>
      </c>
      <c r="C20" s="21" t="s">
        <v>21</v>
      </c>
      <c r="D20" s="22">
        <v>38626</v>
      </c>
      <c r="E20" s="21">
        <v>162</v>
      </c>
      <c r="F20" s="21">
        <v>78</v>
      </c>
      <c r="G20" s="21" t="s">
        <v>22</v>
      </c>
      <c r="H20" s="21" t="s">
        <v>22</v>
      </c>
      <c r="I20" s="21">
        <v>20</v>
      </c>
      <c r="J20" s="27" t="s">
        <v>124</v>
      </c>
      <c r="K20" s="27" t="s">
        <v>29</v>
      </c>
      <c r="L20" s="21" t="s">
        <v>73</v>
      </c>
      <c r="M20" s="24" t="s">
        <v>37</v>
      </c>
      <c r="N20" s="22">
        <v>43878</v>
      </c>
      <c r="O20" s="22">
        <v>43893</v>
      </c>
      <c r="P20" s="21" t="s">
        <v>38</v>
      </c>
      <c r="Q20" s="21" t="s">
        <v>26</v>
      </c>
      <c r="R20" s="21" t="s">
        <v>27</v>
      </c>
      <c r="S20" s="24" t="s">
        <v>28</v>
      </c>
      <c r="T20" s="25" t="s">
        <v>49</v>
      </c>
      <c r="U20" s="21">
        <f t="shared" si="0"/>
        <v>29.721079103795148</v>
      </c>
      <c r="V20" s="40" t="s">
        <v>109</v>
      </c>
    </row>
    <row r="21" spans="1:22" x14ac:dyDescent="0.25">
      <c r="A21" s="38">
        <f t="shared" si="1"/>
        <v>20</v>
      </c>
      <c r="B21" s="27" t="s">
        <v>20</v>
      </c>
      <c r="C21" s="27" t="s">
        <v>21</v>
      </c>
      <c r="D21" s="28">
        <v>42278</v>
      </c>
      <c r="E21" s="27">
        <v>130</v>
      </c>
      <c r="F21" s="27">
        <v>25</v>
      </c>
      <c r="G21" s="27" t="s">
        <v>22</v>
      </c>
      <c r="H21" s="27" t="s">
        <v>22</v>
      </c>
      <c r="I21" s="27">
        <v>0</v>
      </c>
      <c r="J21" s="27" t="s">
        <v>124</v>
      </c>
      <c r="K21" s="27" t="s">
        <v>29</v>
      </c>
      <c r="L21" s="27" t="s">
        <v>74</v>
      </c>
      <c r="M21" s="30" t="s">
        <v>75</v>
      </c>
      <c r="N21" s="28">
        <v>43831</v>
      </c>
      <c r="O21" s="28">
        <v>43855</v>
      </c>
      <c r="P21" s="27" t="s">
        <v>25</v>
      </c>
      <c r="Q21" s="27" t="s">
        <v>26</v>
      </c>
      <c r="R21" s="27" t="s">
        <v>27</v>
      </c>
      <c r="S21" s="30" t="s">
        <v>28</v>
      </c>
      <c r="T21" s="31" t="s">
        <v>29</v>
      </c>
      <c r="U21" s="27">
        <f t="shared" si="0"/>
        <v>14.792899408284022</v>
      </c>
      <c r="V21" s="41" t="s">
        <v>111</v>
      </c>
    </row>
    <row r="22" spans="1:22" x14ac:dyDescent="0.25">
      <c r="A22" s="37">
        <f t="shared" si="1"/>
        <v>21</v>
      </c>
      <c r="B22" s="21" t="s">
        <v>39</v>
      </c>
      <c r="C22" s="21" t="s">
        <v>21</v>
      </c>
      <c r="D22" s="22">
        <v>22760</v>
      </c>
      <c r="E22" s="21">
        <v>170</v>
      </c>
      <c r="F22" s="21">
        <v>95</v>
      </c>
      <c r="G22" s="21" t="s">
        <v>22</v>
      </c>
      <c r="H22" s="21" t="s">
        <v>22</v>
      </c>
      <c r="I22" s="21">
        <v>0</v>
      </c>
      <c r="J22" s="27" t="s">
        <v>124</v>
      </c>
      <c r="K22" s="27" t="s">
        <v>29</v>
      </c>
      <c r="L22" s="21" t="s">
        <v>76</v>
      </c>
      <c r="M22" s="24" t="s">
        <v>75</v>
      </c>
      <c r="N22" s="22">
        <v>43521</v>
      </c>
      <c r="O22" s="22">
        <v>43527</v>
      </c>
      <c r="P22" s="21" t="s">
        <v>38</v>
      </c>
      <c r="Q22" s="21" t="s">
        <v>26</v>
      </c>
      <c r="R22" s="21" t="s">
        <v>27</v>
      </c>
      <c r="S22" s="24" t="s">
        <v>28</v>
      </c>
      <c r="T22" s="25" t="s">
        <v>49</v>
      </c>
      <c r="U22" s="21">
        <f t="shared" si="0"/>
        <v>32.871972318339104</v>
      </c>
      <c r="V22" s="40" t="s">
        <v>113</v>
      </c>
    </row>
    <row r="23" spans="1:22" x14ac:dyDescent="0.25">
      <c r="A23" s="38">
        <f t="shared" si="1"/>
        <v>22</v>
      </c>
      <c r="B23" s="27" t="s">
        <v>39</v>
      </c>
      <c r="C23" s="27" t="s">
        <v>21</v>
      </c>
      <c r="D23" s="28">
        <v>35544</v>
      </c>
      <c r="E23" s="27">
        <v>170</v>
      </c>
      <c r="F23" s="27">
        <v>55</v>
      </c>
      <c r="G23" s="27" t="s">
        <v>22</v>
      </c>
      <c r="H23" s="27" t="s">
        <v>35</v>
      </c>
      <c r="I23" s="27">
        <v>64</v>
      </c>
      <c r="J23" s="27" t="s">
        <v>124</v>
      </c>
      <c r="K23" s="27" t="s">
        <v>29</v>
      </c>
      <c r="L23" s="27" t="s">
        <v>77</v>
      </c>
      <c r="M23" s="30" t="s">
        <v>78</v>
      </c>
      <c r="N23" s="28">
        <v>43604</v>
      </c>
      <c r="O23" s="28">
        <v>43610</v>
      </c>
      <c r="P23" s="27" t="s">
        <v>38</v>
      </c>
      <c r="Q23" s="27" t="s">
        <v>26</v>
      </c>
      <c r="R23" s="27" t="s">
        <v>44</v>
      </c>
      <c r="S23" s="30" t="s">
        <v>28</v>
      </c>
      <c r="T23" s="31" t="s">
        <v>29</v>
      </c>
      <c r="U23" s="27">
        <f t="shared" si="0"/>
        <v>19.031141868512112</v>
      </c>
      <c r="V23" s="41" t="s">
        <v>108</v>
      </c>
    </row>
    <row r="24" spans="1:22" x14ac:dyDescent="0.25">
      <c r="A24" s="37">
        <f t="shared" si="1"/>
        <v>23</v>
      </c>
      <c r="B24" s="21" t="s">
        <v>39</v>
      </c>
      <c r="C24" s="21" t="s">
        <v>21</v>
      </c>
      <c r="D24" s="22">
        <v>35547</v>
      </c>
      <c r="E24" s="21">
        <v>167</v>
      </c>
      <c r="F24" s="21">
        <v>115</v>
      </c>
      <c r="G24" s="21" t="s">
        <v>22</v>
      </c>
      <c r="H24" s="21" t="s">
        <v>35</v>
      </c>
      <c r="I24" s="21">
        <v>6</v>
      </c>
      <c r="J24" s="27" t="s">
        <v>124</v>
      </c>
      <c r="K24" s="27" t="s">
        <v>29</v>
      </c>
      <c r="L24" s="21" t="s">
        <v>79</v>
      </c>
      <c r="M24" s="24" t="s">
        <v>80</v>
      </c>
      <c r="N24" s="22">
        <v>43772</v>
      </c>
      <c r="O24" s="22">
        <v>43837</v>
      </c>
      <c r="P24" s="21" t="s">
        <v>38</v>
      </c>
      <c r="Q24" s="21" t="s">
        <v>43</v>
      </c>
      <c r="R24" s="21" t="s">
        <v>52</v>
      </c>
      <c r="S24" s="24" t="s">
        <v>28</v>
      </c>
      <c r="T24" s="25" t="s">
        <v>45</v>
      </c>
      <c r="U24" s="21">
        <f t="shared" si="0"/>
        <v>41.234895478504072</v>
      </c>
      <c r="V24" s="40" t="s">
        <v>110</v>
      </c>
    </row>
    <row r="25" spans="1:22" x14ac:dyDescent="0.25">
      <c r="A25" s="38">
        <f t="shared" si="1"/>
        <v>24</v>
      </c>
      <c r="B25" s="27" t="s">
        <v>39</v>
      </c>
      <c r="C25" s="27" t="s">
        <v>21</v>
      </c>
      <c r="D25" s="28">
        <v>23859</v>
      </c>
      <c r="E25" s="27">
        <v>186</v>
      </c>
      <c r="F25" s="27">
        <v>115</v>
      </c>
      <c r="G25" s="27" t="s">
        <v>22</v>
      </c>
      <c r="H25" s="27" t="s">
        <v>35</v>
      </c>
      <c r="I25" s="27">
        <v>6</v>
      </c>
      <c r="J25" s="27" t="s">
        <v>124</v>
      </c>
      <c r="K25" s="27" t="s">
        <v>29</v>
      </c>
      <c r="L25" s="27" t="s">
        <v>81</v>
      </c>
      <c r="M25" s="30" t="s">
        <v>47</v>
      </c>
      <c r="N25" s="28">
        <v>43683</v>
      </c>
      <c r="O25" s="28">
        <v>43710</v>
      </c>
      <c r="P25" s="27" t="s">
        <v>38</v>
      </c>
      <c r="Q25" s="27" t="s">
        <v>43</v>
      </c>
      <c r="R25" s="27" t="s">
        <v>44</v>
      </c>
      <c r="S25" s="30" t="s">
        <v>28</v>
      </c>
      <c r="T25" s="31" t="s">
        <v>45</v>
      </c>
      <c r="U25" s="27">
        <f t="shared" si="0"/>
        <v>33.240837090993175</v>
      </c>
      <c r="V25" s="41" t="s">
        <v>113</v>
      </c>
    </row>
    <row r="26" spans="1:22" x14ac:dyDescent="0.25">
      <c r="A26" s="37">
        <f t="shared" si="1"/>
        <v>25</v>
      </c>
      <c r="B26" s="21" t="s">
        <v>39</v>
      </c>
      <c r="C26" s="21" t="s">
        <v>21</v>
      </c>
      <c r="D26" s="22">
        <v>23833</v>
      </c>
      <c r="E26" s="21">
        <v>186</v>
      </c>
      <c r="F26" s="21">
        <v>65</v>
      </c>
      <c r="G26" s="21" t="s">
        <v>22</v>
      </c>
      <c r="H26" s="21" t="s">
        <v>35</v>
      </c>
      <c r="I26" s="21">
        <v>16</v>
      </c>
      <c r="J26" s="27" t="s">
        <v>29</v>
      </c>
      <c r="K26" s="27" t="s">
        <v>29</v>
      </c>
      <c r="L26" s="21" t="s">
        <v>81</v>
      </c>
      <c r="M26" s="24" t="s">
        <v>47</v>
      </c>
      <c r="N26" s="22">
        <v>43863</v>
      </c>
      <c r="O26" s="22">
        <v>43878</v>
      </c>
      <c r="P26" s="21" t="s">
        <v>25</v>
      </c>
      <c r="Q26" s="21" t="s">
        <v>26</v>
      </c>
      <c r="R26" s="21" t="s">
        <v>44</v>
      </c>
      <c r="S26" s="24" t="s">
        <v>28</v>
      </c>
      <c r="T26" s="25" t="s">
        <v>45</v>
      </c>
      <c r="U26" s="21">
        <f t="shared" si="0"/>
        <v>18.78829922534397</v>
      </c>
      <c r="V26" s="40" t="s">
        <v>108</v>
      </c>
    </row>
    <row r="27" spans="1:22" x14ac:dyDescent="0.25">
      <c r="A27" s="38">
        <f t="shared" si="1"/>
        <v>26</v>
      </c>
      <c r="B27" s="27" t="s">
        <v>20</v>
      </c>
      <c r="C27" s="27" t="s">
        <v>30</v>
      </c>
      <c r="D27" s="28">
        <v>19815</v>
      </c>
      <c r="E27" s="27">
        <v>186</v>
      </c>
      <c r="F27" s="27">
        <v>62</v>
      </c>
      <c r="G27" s="27" t="s">
        <v>31</v>
      </c>
      <c r="H27" s="27" t="s">
        <v>35</v>
      </c>
      <c r="I27" s="27">
        <v>1</v>
      </c>
      <c r="J27" s="27" t="s">
        <v>124</v>
      </c>
      <c r="K27" s="27" t="s">
        <v>29</v>
      </c>
      <c r="L27" s="27" t="s">
        <v>36</v>
      </c>
      <c r="M27" s="30" t="s">
        <v>57</v>
      </c>
      <c r="N27" s="28">
        <v>43860</v>
      </c>
      <c r="O27" s="28">
        <v>43895</v>
      </c>
      <c r="P27" s="27" t="s">
        <v>42</v>
      </c>
      <c r="Q27" s="27" t="s">
        <v>26</v>
      </c>
      <c r="R27" s="27" t="s">
        <v>52</v>
      </c>
      <c r="S27" s="30" t="s">
        <v>53</v>
      </c>
      <c r="T27" s="31" t="s">
        <v>45</v>
      </c>
      <c r="U27" s="27">
        <f t="shared" si="0"/>
        <v>17.921146953405014</v>
      </c>
      <c r="V27" s="41" t="s">
        <v>112</v>
      </c>
    </row>
    <row r="28" spans="1:22" x14ac:dyDescent="0.25">
      <c r="A28" s="37">
        <f t="shared" si="1"/>
        <v>27</v>
      </c>
      <c r="B28" s="21" t="s">
        <v>20</v>
      </c>
      <c r="C28" s="21" t="s">
        <v>30</v>
      </c>
      <c r="D28" s="22">
        <v>14702</v>
      </c>
      <c r="E28" s="21">
        <v>166</v>
      </c>
      <c r="F28" s="21">
        <v>69</v>
      </c>
      <c r="G28" s="21" t="s">
        <v>31</v>
      </c>
      <c r="H28" s="21" t="s">
        <v>35</v>
      </c>
      <c r="I28" s="21">
        <v>19</v>
      </c>
      <c r="J28" s="27" t="s">
        <v>124</v>
      </c>
      <c r="K28" s="27" t="s">
        <v>29</v>
      </c>
      <c r="L28" s="21" t="s">
        <v>36</v>
      </c>
      <c r="M28" s="24" t="s">
        <v>57</v>
      </c>
      <c r="N28" s="22">
        <v>43772</v>
      </c>
      <c r="O28" s="22">
        <v>43837</v>
      </c>
      <c r="P28" s="21" t="s">
        <v>42</v>
      </c>
      <c r="Q28" s="21" t="s">
        <v>26</v>
      </c>
      <c r="R28" s="21" t="s">
        <v>52</v>
      </c>
      <c r="S28" s="24" t="s">
        <v>82</v>
      </c>
      <c r="T28" s="25" t="s">
        <v>49</v>
      </c>
      <c r="U28" s="21">
        <f t="shared" si="0"/>
        <v>25.039918710988534</v>
      </c>
      <c r="V28" s="40" t="s">
        <v>109</v>
      </c>
    </row>
    <row r="29" spans="1:22" x14ac:dyDescent="0.25">
      <c r="A29" s="38">
        <f t="shared" si="1"/>
        <v>28</v>
      </c>
      <c r="B29" s="27" t="s">
        <v>20</v>
      </c>
      <c r="C29" s="27" t="s">
        <v>30</v>
      </c>
      <c r="D29" s="28">
        <v>14705</v>
      </c>
      <c r="E29" s="27">
        <v>166</v>
      </c>
      <c r="F29" s="27">
        <v>80</v>
      </c>
      <c r="G29" s="27" t="s">
        <v>31</v>
      </c>
      <c r="H29" s="27" t="s">
        <v>35</v>
      </c>
      <c r="I29" s="27">
        <v>9</v>
      </c>
      <c r="J29" s="27" t="s">
        <v>124</v>
      </c>
      <c r="K29" s="27" t="s">
        <v>29</v>
      </c>
      <c r="L29" s="27" t="s">
        <v>71</v>
      </c>
      <c r="M29" s="30" t="s">
        <v>83</v>
      </c>
      <c r="N29" s="28">
        <v>43878</v>
      </c>
      <c r="O29" s="28">
        <v>43891</v>
      </c>
      <c r="P29" s="27" t="s">
        <v>25</v>
      </c>
      <c r="Q29" s="27" t="s">
        <v>26</v>
      </c>
      <c r="R29" s="27" t="s">
        <v>27</v>
      </c>
      <c r="S29" s="30" t="s">
        <v>48</v>
      </c>
      <c r="T29" s="31" t="s">
        <v>49</v>
      </c>
      <c r="U29" s="27">
        <f t="shared" si="0"/>
        <v>29.031789809841779</v>
      </c>
      <c r="V29" s="41" t="s">
        <v>109</v>
      </c>
    </row>
    <row r="30" spans="1:22" x14ac:dyDescent="0.25">
      <c r="A30" s="37">
        <f t="shared" si="1"/>
        <v>29</v>
      </c>
      <c r="B30" s="21" t="s">
        <v>20</v>
      </c>
      <c r="C30" s="21" t="s">
        <v>30</v>
      </c>
      <c r="D30" s="22">
        <v>40272</v>
      </c>
      <c r="E30" s="21">
        <v>155</v>
      </c>
      <c r="F30" s="21">
        <v>101</v>
      </c>
      <c r="G30" s="21" t="s">
        <v>31</v>
      </c>
      <c r="H30" s="21" t="s">
        <v>35</v>
      </c>
      <c r="I30" s="21">
        <v>50</v>
      </c>
      <c r="J30" s="27" t="s">
        <v>124</v>
      </c>
      <c r="K30" s="27" t="s">
        <v>29</v>
      </c>
      <c r="L30" s="21" t="s">
        <v>84</v>
      </c>
      <c r="M30" s="24" t="s">
        <v>85</v>
      </c>
      <c r="N30" s="22">
        <v>43831</v>
      </c>
      <c r="O30" s="22">
        <v>43855</v>
      </c>
      <c r="P30" s="21" t="s">
        <v>25</v>
      </c>
      <c r="Q30" s="21" t="s">
        <v>26</v>
      </c>
      <c r="R30" s="21" t="s">
        <v>27</v>
      </c>
      <c r="S30" s="24" t="s">
        <v>28</v>
      </c>
      <c r="T30" s="25" t="s">
        <v>29</v>
      </c>
      <c r="U30" s="21">
        <f t="shared" si="0"/>
        <v>42.039542143600414</v>
      </c>
      <c r="V30" s="40" t="s">
        <v>110</v>
      </c>
    </row>
    <row r="31" spans="1:22" x14ac:dyDescent="0.25">
      <c r="A31" s="38">
        <f t="shared" si="1"/>
        <v>30</v>
      </c>
      <c r="B31" s="27" t="s">
        <v>20</v>
      </c>
      <c r="C31" s="27" t="s">
        <v>30</v>
      </c>
      <c r="D31" s="28">
        <v>37557</v>
      </c>
      <c r="E31" s="27">
        <v>170</v>
      </c>
      <c r="F31" s="27">
        <v>46</v>
      </c>
      <c r="G31" s="27" t="s">
        <v>31</v>
      </c>
      <c r="H31" s="27" t="s">
        <v>35</v>
      </c>
      <c r="I31" s="27">
        <v>24</v>
      </c>
      <c r="J31" s="27" t="s">
        <v>124</v>
      </c>
      <c r="K31" s="27" t="s">
        <v>29</v>
      </c>
      <c r="L31" s="27" t="s">
        <v>61</v>
      </c>
      <c r="M31" s="30" t="s">
        <v>60</v>
      </c>
      <c r="N31" s="28">
        <v>43683</v>
      </c>
      <c r="O31" s="28">
        <v>43710</v>
      </c>
      <c r="P31" s="27" t="s">
        <v>38</v>
      </c>
      <c r="Q31" s="27" t="s">
        <v>26</v>
      </c>
      <c r="R31" s="27" t="s">
        <v>44</v>
      </c>
      <c r="S31" s="30" t="s">
        <v>48</v>
      </c>
      <c r="T31" s="31" t="s">
        <v>45</v>
      </c>
      <c r="U31" s="27">
        <f t="shared" si="0"/>
        <v>15.91695501730104</v>
      </c>
      <c r="V31" s="41" t="s">
        <v>111</v>
      </c>
    </row>
    <row r="32" spans="1:22" x14ac:dyDescent="0.25">
      <c r="A32" s="37">
        <f t="shared" si="1"/>
        <v>31</v>
      </c>
      <c r="B32" s="21" t="s">
        <v>20</v>
      </c>
      <c r="C32" s="21" t="s">
        <v>30</v>
      </c>
      <c r="D32" s="22">
        <v>35366</v>
      </c>
      <c r="E32" s="21">
        <v>170</v>
      </c>
      <c r="F32" s="21">
        <v>89</v>
      </c>
      <c r="G32" s="21" t="s">
        <v>31</v>
      </c>
      <c r="H32" s="21" t="s">
        <v>35</v>
      </c>
      <c r="I32" s="21">
        <v>4</v>
      </c>
      <c r="J32" s="27" t="s">
        <v>124</v>
      </c>
      <c r="K32" s="27" t="s">
        <v>29</v>
      </c>
      <c r="L32" s="21" t="s">
        <v>59</v>
      </c>
      <c r="M32" s="24" t="s">
        <v>60</v>
      </c>
      <c r="N32" s="22">
        <v>43604</v>
      </c>
      <c r="O32" s="22">
        <v>43610</v>
      </c>
      <c r="P32" s="21" t="s">
        <v>38</v>
      </c>
      <c r="Q32" s="21" t="s">
        <v>26</v>
      </c>
      <c r="R32" s="21" t="s">
        <v>44</v>
      </c>
      <c r="S32" s="24" t="s">
        <v>86</v>
      </c>
      <c r="T32" s="25" t="s">
        <v>45</v>
      </c>
      <c r="U32" s="21">
        <f t="shared" si="0"/>
        <v>30.795847750865054</v>
      </c>
      <c r="V32" s="40" t="s">
        <v>113</v>
      </c>
    </row>
    <row r="33" spans="1:22" x14ac:dyDescent="0.25">
      <c r="A33" s="38">
        <f t="shared" si="1"/>
        <v>32</v>
      </c>
      <c r="B33" s="27" t="s">
        <v>39</v>
      </c>
      <c r="C33" s="27" t="s">
        <v>21</v>
      </c>
      <c r="D33" s="28">
        <v>33905</v>
      </c>
      <c r="E33" s="27">
        <v>178</v>
      </c>
      <c r="F33" s="27">
        <v>89</v>
      </c>
      <c r="G33" s="27" t="s">
        <v>35</v>
      </c>
      <c r="H33" s="27" t="s">
        <v>22</v>
      </c>
      <c r="I33" s="27">
        <v>40</v>
      </c>
      <c r="J33" s="27" t="s">
        <v>124</v>
      </c>
      <c r="K33" s="27" t="s">
        <v>29</v>
      </c>
      <c r="L33" s="27" t="s">
        <v>36</v>
      </c>
      <c r="M33" s="30" t="s">
        <v>37</v>
      </c>
      <c r="N33" s="28">
        <v>43878</v>
      </c>
      <c r="O33" s="28">
        <v>43893</v>
      </c>
      <c r="P33" s="27" t="s">
        <v>42</v>
      </c>
      <c r="Q33" s="27" t="s">
        <v>26</v>
      </c>
      <c r="R33" s="27" t="s">
        <v>44</v>
      </c>
      <c r="S33" s="30" t="s">
        <v>48</v>
      </c>
      <c r="T33" s="31" t="s">
        <v>45</v>
      </c>
      <c r="U33" s="27">
        <f t="shared" si="0"/>
        <v>28.089887640449437</v>
      </c>
      <c r="V33" s="41" t="s">
        <v>109</v>
      </c>
    </row>
    <row r="34" spans="1:22" x14ac:dyDescent="0.25">
      <c r="A34" s="37">
        <f t="shared" si="1"/>
        <v>33</v>
      </c>
      <c r="B34" s="21" t="s">
        <v>39</v>
      </c>
      <c r="C34" s="21" t="s">
        <v>21</v>
      </c>
      <c r="D34" s="22">
        <v>33795</v>
      </c>
      <c r="E34" s="21">
        <v>178</v>
      </c>
      <c r="F34" s="21">
        <v>54</v>
      </c>
      <c r="G34" s="21" t="s">
        <v>35</v>
      </c>
      <c r="H34" s="21" t="s">
        <v>22</v>
      </c>
      <c r="I34" s="21">
        <v>40</v>
      </c>
      <c r="J34" s="27" t="s">
        <v>29</v>
      </c>
      <c r="K34" s="27" t="s">
        <v>29</v>
      </c>
      <c r="L34" s="21" t="s">
        <v>36</v>
      </c>
      <c r="M34" s="24" t="s">
        <v>37</v>
      </c>
      <c r="N34" s="22">
        <v>43863</v>
      </c>
      <c r="O34" s="22">
        <v>43878</v>
      </c>
      <c r="P34" s="21" t="s">
        <v>42</v>
      </c>
      <c r="Q34" s="21" t="s">
        <v>26</v>
      </c>
      <c r="R34" s="21" t="s">
        <v>44</v>
      </c>
      <c r="S34" s="24" t="s">
        <v>48</v>
      </c>
      <c r="T34" s="25" t="s">
        <v>49</v>
      </c>
      <c r="U34" s="21">
        <f t="shared" si="0"/>
        <v>17.043302613306402</v>
      </c>
      <c r="V34" s="40" t="s">
        <v>112</v>
      </c>
    </row>
    <row r="35" spans="1:22" x14ac:dyDescent="0.25">
      <c r="A35" s="38">
        <f t="shared" ref="A35:A98" si="2">1+SUM(A34)</f>
        <v>34</v>
      </c>
      <c r="B35" s="27" t="s">
        <v>39</v>
      </c>
      <c r="C35" s="27" t="s">
        <v>30</v>
      </c>
      <c r="D35" s="28">
        <v>33795</v>
      </c>
      <c r="E35" s="27">
        <v>178</v>
      </c>
      <c r="F35" s="27">
        <v>54</v>
      </c>
      <c r="G35" s="27" t="s">
        <v>31</v>
      </c>
      <c r="H35" s="27" t="s">
        <v>22</v>
      </c>
      <c r="I35" s="27">
        <v>3</v>
      </c>
      <c r="J35" s="27" t="s">
        <v>124</v>
      </c>
      <c r="K35" s="27" t="s">
        <v>29</v>
      </c>
      <c r="L35" s="27" t="s">
        <v>87</v>
      </c>
      <c r="M35" s="30" t="s">
        <v>88</v>
      </c>
      <c r="N35" s="28">
        <v>43521</v>
      </c>
      <c r="O35" s="28">
        <v>43527</v>
      </c>
      <c r="P35" s="27" t="s">
        <v>42</v>
      </c>
      <c r="Q35" s="27" t="s">
        <v>43</v>
      </c>
      <c r="R35" s="27" t="s">
        <v>52</v>
      </c>
      <c r="S35" s="30" t="s">
        <v>48</v>
      </c>
      <c r="T35" s="31" t="s">
        <v>49</v>
      </c>
      <c r="U35" s="27">
        <f t="shared" si="0"/>
        <v>17.043302613306402</v>
      </c>
      <c r="V35" s="41" t="s">
        <v>112</v>
      </c>
    </row>
    <row r="36" spans="1:22" x14ac:dyDescent="0.25">
      <c r="A36" s="37">
        <f t="shared" si="2"/>
        <v>35</v>
      </c>
      <c r="B36" s="21" t="s">
        <v>39</v>
      </c>
      <c r="C36" s="21" t="s">
        <v>30</v>
      </c>
      <c r="D36" s="22">
        <v>33729</v>
      </c>
      <c r="E36" s="21">
        <v>180</v>
      </c>
      <c r="F36" s="21">
        <v>76</v>
      </c>
      <c r="G36" s="21" t="s">
        <v>31</v>
      </c>
      <c r="H36" s="21" t="s">
        <v>22</v>
      </c>
      <c r="I36" s="21">
        <v>34</v>
      </c>
      <c r="J36" s="27" t="s">
        <v>124</v>
      </c>
      <c r="K36" s="27" t="s">
        <v>29</v>
      </c>
      <c r="L36" s="21" t="s">
        <v>55</v>
      </c>
      <c r="M36" s="24" t="s">
        <v>89</v>
      </c>
      <c r="N36" s="22">
        <v>43860</v>
      </c>
      <c r="O36" s="22">
        <v>43895</v>
      </c>
      <c r="P36" s="21" t="s">
        <v>42</v>
      </c>
      <c r="Q36" s="21" t="s">
        <v>43</v>
      </c>
      <c r="R36" s="21" t="s">
        <v>44</v>
      </c>
      <c r="S36" s="24" t="s">
        <v>82</v>
      </c>
      <c r="T36" s="25" t="s">
        <v>29</v>
      </c>
      <c r="U36" s="21">
        <f t="shared" si="0"/>
        <v>23.456790123456788</v>
      </c>
      <c r="V36" s="40" t="s">
        <v>108</v>
      </c>
    </row>
    <row r="37" spans="1:22" x14ac:dyDescent="0.25">
      <c r="A37" s="38">
        <f t="shared" si="2"/>
        <v>36</v>
      </c>
      <c r="B37" s="27" t="s">
        <v>20</v>
      </c>
      <c r="C37" s="27" t="s">
        <v>21</v>
      </c>
      <c r="D37" s="28">
        <v>31902</v>
      </c>
      <c r="E37" s="27">
        <v>180</v>
      </c>
      <c r="F37" s="27">
        <v>103</v>
      </c>
      <c r="G37" s="27" t="s">
        <v>90</v>
      </c>
      <c r="H37" s="27" t="s">
        <v>35</v>
      </c>
      <c r="I37" s="27">
        <v>29</v>
      </c>
      <c r="J37" s="27" t="s">
        <v>124</v>
      </c>
      <c r="K37" s="27" t="s">
        <v>29</v>
      </c>
      <c r="L37" s="27" t="s">
        <v>55</v>
      </c>
      <c r="M37" s="30" t="s">
        <v>89</v>
      </c>
      <c r="N37" s="28">
        <v>43831</v>
      </c>
      <c r="O37" s="28">
        <v>43855</v>
      </c>
      <c r="P37" s="27" t="s">
        <v>42</v>
      </c>
      <c r="Q37" s="27" t="s">
        <v>43</v>
      </c>
      <c r="R37" s="27" t="s">
        <v>44</v>
      </c>
      <c r="S37" s="30" t="s">
        <v>86</v>
      </c>
      <c r="T37" s="31" t="s">
        <v>29</v>
      </c>
      <c r="U37" s="27">
        <f t="shared" si="0"/>
        <v>31.79012345679012</v>
      </c>
      <c r="V37" s="41" t="s">
        <v>113</v>
      </c>
    </row>
    <row r="38" spans="1:22" x14ac:dyDescent="0.25">
      <c r="A38" s="37">
        <f t="shared" si="2"/>
        <v>37</v>
      </c>
      <c r="B38" s="21" t="s">
        <v>20</v>
      </c>
      <c r="C38" s="21" t="s">
        <v>21</v>
      </c>
      <c r="D38" s="22">
        <v>32613</v>
      </c>
      <c r="E38" s="21">
        <v>159</v>
      </c>
      <c r="F38" s="21">
        <v>76</v>
      </c>
      <c r="G38" s="21" t="s">
        <v>90</v>
      </c>
      <c r="H38" s="21" t="s">
        <v>35</v>
      </c>
      <c r="I38" s="21">
        <v>0</v>
      </c>
      <c r="J38" s="27" t="s">
        <v>124</v>
      </c>
      <c r="K38" s="27" t="s">
        <v>29</v>
      </c>
      <c r="L38" s="21" t="s">
        <v>91</v>
      </c>
      <c r="M38" s="24" t="s">
        <v>63</v>
      </c>
      <c r="N38" s="22">
        <v>43878</v>
      </c>
      <c r="O38" s="22">
        <v>43891</v>
      </c>
      <c r="P38" s="21" t="s">
        <v>42</v>
      </c>
      <c r="Q38" s="21" t="s">
        <v>43</v>
      </c>
      <c r="R38" s="21" t="s">
        <v>44</v>
      </c>
      <c r="S38" s="24" t="s">
        <v>28</v>
      </c>
      <c r="T38" s="25" t="s">
        <v>29</v>
      </c>
      <c r="U38" s="21">
        <f t="shared" si="0"/>
        <v>30.062101973814325</v>
      </c>
      <c r="V38" s="40" t="s">
        <v>113</v>
      </c>
    </row>
    <row r="39" spans="1:22" x14ac:dyDescent="0.25">
      <c r="A39" s="38">
        <f t="shared" si="2"/>
        <v>38</v>
      </c>
      <c r="B39" s="27" t="s">
        <v>20</v>
      </c>
      <c r="C39" s="27" t="s">
        <v>21</v>
      </c>
      <c r="D39" s="28">
        <v>32617</v>
      </c>
      <c r="E39" s="27">
        <v>178</v>
      </c>
      <c r="F39" s="27">
        <v>90</v>
      </c>
      <c r="G39" s="27" t="s">
        <v>22</v>
      </c>
      <c r="H39" s="27" t="s">
        <v>35</v>
      </c>
      <c r="I39" s="27">
        <v>40</v>
      </c>
      <c r="J39" s="27" t="s">
        <v>124</v>
      </c>
      <c r="K39" s="27" t="s">
        <v>29</v>
      </c>
      <c r="L39" s="27" t="s">
        <v>32</v>
      </c>
      <c r="M39" s="30" t="s">
        <v>75</v>
      </c>
      <c r="N39" s="28">
        <v>43878</v>
      </c>
      <c r="O39" s="28">
        <v>43893</v>
      </c>
      <c r="P39" s="27" t="s">
        <v>25</v>
      </c>
      <c r="Q39" s="27" t="s">
        <v>26</v>
      </c>
      <c r="R39" s="27" t="s">
        <v>27</v>
      </c>
      <c r="S39" s="30" t="s">
        <v>28</v>
      </c>
      <c r="T39" s="31" t="s">
        <v>29</v>
      </c>
      <c r="U39" s="27">
        <f t="shared" si="0"/>
        <v>28.405504355510669</v>
      </c>
      <c r="V39" s="41" t="s">
        <v>109</v>
      </c>
    </row>
    <row r="40" spans="1:22" x14ac:dyDescent="0.25">
      <c r="A40" s="37">
        <f t="shared" si="2"/>
        <v>39</v>
      </c>
      <c r="B40" s="21" t="s">
        <v>39</v>
      </c>
      <c r="C40" s="21" t="s">
        <v>30</v>
      </c>
      <c r="D40" s="22">
        <v>25677</v>
      </c>
      <c r="E40" s="21">
        <v>178</v>
      </c>
      <c r="F40" s="21">
        <v>96</v>
      </c>
      <c r="G40" s="21" t="s">
        <v>31</v>
      </c>
      <c r="H40" s="21" t="s">
        <v>35</v>
      </c>
      <c r="I40" s="21">
        <v>46</v>
      </c>
      <c r="J40" s="27" t="s">
        <v>124</v>
      </c>
      <c r="K40" s="27" t="s">
        <v>29</v>
      </c>
      <c r="L40" s="21" t="s">
        <v>87</v>
      </c>
      <c r="M40" s="24" t="s">
        <v>78</v>
      </c>
      <c r="N40" s="22">
        <v>43772</v>
      </c>
      <c r="O40" s="22">
        <v>43837</v>
      </c>
      <c r="P40" s="21" t="s">
        <v>42</v>
      </c>
      <c r="Q40" s="21" t="s">
        <v>43</v>
      </c>
      <c r="R40" s="21" t="s">
        <v>44</v>
      </c>
      <c r="S40" s="24" t="s">
        <v>82</v>
      </c>
      <c r="T40" s="25" t="s">
        <v>49</v>
      </c>
      <c r="U40" s="21">
        <f t="shared" si="0"/>
        <v>30.299204645878046</v>
      </c>
      <c r="V40" s="40" t="s">
        <v>113</v>
      </c>
    </row>
    <row r="41" spans="1:22" x14ac:dyDescent="0.25">
      <c r="A41" s="38">
        <f t="shared" si="2"/>
        <v>40</v>
      </c>
      <c r="B41" s="27" t="s">
        <v>39</v>
      </c>
      <c r="C41" s="27" t="s">
        <v>30</v>
      </c>
      <c r="D41" s="28">
        <v>20564</v>
      </c>
      <c r="E41" s="27">
        <v>178</v>
      </c>
      <c r="F41" s="27">
        <v>87</v>
      </c>
      <c r="G41" s="27" t="s">
        <v>31</v>
      </c>
      <c r="H41" s="27" t="s">
        <v>35</v>
      </c>
      <c r="I41" s="27">
        <v>0</v>
      </c>
      <c r="J41" s="27" t="s">
        <v>124</v>
      </c>
      <c r="K41" s="27" t="s">
        <v>29</v>
      </c>
      <c r="L41" s="27" t="s">
        <v>87</v>
      </c>
      <c r="M41" s="30" t="s">
        <v>78</v>
      </c>
      <c r="N41" s="28">
        <v>43683</v>
      </c>
      <c r="O41" s="28">
        <v>43710</v>
      </c>
      <c r="P41" s="27" t="s">
        <v>42</v>
      </c>
      <c r="Q41" s="27" t="s">
        <v>43</v>
      </c>
      <c r="R41" s="27" t="s">
        <v>34</v>
      </c>
      <c r="S41" s="30" t="s">
        <v>48</v>
      </c>
      <c r="T41" s="31" t="s">
        <v>29</v>
      </c>
      <c r="U41" s="27">
        <f t="shared" si="0"/>
        <v>27.458654210326976</v>
      </c>
      <c r="V41" s="41" t="s">
        <v>109</v>
      </c>
    </row>
    <row r="42" spans="1:22" x14ac:dyDescent="0.25">
      <c r="A42" s="37">
        <f t="shared" si="2"/>
        <v>41</v>
      </c>
      <c r="B42" s="21" t="s">
        <v>39</v>
      </c>
      <c r="C42" s="21" t="s">
        <v>21</v>
      </c>
      <c r="D42" s="22">
        <v>17642</v>
      </c>
      <c r="E42" s="21">
        <v>178</v>
      </c>
      <c r="F42" s="21">
        <v>62</v>
      </c>
      <c r="G42" s="21" t="s">
        <v>22</v>
      </c>
      <c r="H42" s="21" t="s">
        <v>35</v>
      </c>
      <c r="I42" s="21">
        <v>65</v>
      </c>
      <c r="J42" s="27" t="s">
        <v>124</v>
      </c>
      <c r="K42" s="27" t="s">
        <v>29</v>
      </c>
      <c r="L42" s="21" t="s">
        <v>92</v>
      </c>
      <c r="M42" s="24" t="s">
        <v>63</v>
      </c>
      <c r="N42" s="22">
        <v>43604</v>
      </c>
      <c r="O42" s="22">
        <v>43610</v>
      </c>
      <c r="P42" s="21" t="s">
        <v>42</v>
      </c>
      <c r="Q42" s="21" t="s">
        <v>43</v>
      </c>
      <c r="R42" s="21" t="s">
        <v>52</v>
      </c>
      <c r="S42" s="24" t="s">
        <v>53</v>
      </c>
      <c r="T42" s="25" t="s">
        <v>45</v>
      </c>
      <c r="U42" s="21">
        <f t="shared" si="0"/>
        <v>19.568236333796236</v>
      </c>
      <c r="V42" s="40" t="s">
        <v>108</v>
      </c>
    </row>
    <row r="43" spans="1:22" x14ac:dyDescent="0.25">
      <c r="A43" s="38">
        <f t="shared" si="2"/>
        <v>42</v>
      </c>
      <c r="B43" s="27" t="s">
        <v>39</v>
      </c>
      <c r="C43" s="27" t="s">
        <v>21</v>
      </c>
      <c r="D43" s="28">
        <v>19205</v>
      </c>
      <c r="E43" s="27">
        <v>179</v>
      </c>
      <c r="F43" s="27">
        <v>68</v>
      </c>
      <c r="G43" s="27" t="s">
        <v>22</v>
      </c>
      <c r="H43" s="27" t="s">
        <v>35</v>
      </c>
      <c r="I43" s="27">
        <v>5</v>
      </c>
      <c r="J43" s="27" t="s">
        <v>124</v>
      </c>
      <c r="K43" s="27" t="s">
        <v>29</v>
      </c>
      <c r="L43" s="27" t="s">
        <v>93</v>
      </c>
      <c r="M43" s="30" t="s">
        <v>94</v>
      </c>
      <c r="N43" s="28">
        <v>43863</v>
      </c>
      <c r="O43" s="28">
        <v>43878</v>
      </c>
      <c r="P43" s="27" t="s">
        <v>42</v>
      </c>
      <c r="Q43" s="27" t="s">
        <v>26</v>
      </c>
      <c r="R43" s="27" t="s">
        <v>34</v>
      </c>
      <c r="S43" s="30" t="s">
        <v>28</v>
      </c>
      <c r="T43" s="31" t="s">
        <v>49</v>
      </c>
      <c r="U43" s="27">
        <f t="shared" si="0"/>
        <v>21.222808276895229</v>
      </c>
      <c r="V43" s="41" t="s">
        <v>108</v>
      </c>
    </row>
    <row r="44" spans="1:22" x14ac:dyDescent="0.25">
      <c r="A44" s="37">
        <f t="shared" si="2"/>
        <v>43</v>
      </c>
      <c r="B44" s="21" t="s">
        <v>39</v>
      </c>
      <c r="C44" s="21" t="s">
        <v>21</v>
      </c>
      <c r="D44" s="22">
        <v>36191</v>
      </c>
      <c r="E44" s="21">
        <v>196</v>
      </c>
      <c r="F44" s="21">
        <v>65</v>
      </c>
      <c r="G44" s="21" t="s">
        <v>22</v>
      </c>
      <c r="H44" s="21" t="s">
        <v>35</v>
      </c>
      <c r="I44" s="21">
        <v>15</v>
      </c>
      <c r="J44" s="27" t="s">
        <v>124</v>
      </c>
      <c r="K44" s="27" t="s">
        <v>29</v>
      </c>
      <c r="L44" s="21" t="s">
        <v>46</v>
      </c>
      <c r="M44" s="24" t="s">
        <v>75</v>
      </c>
      <c r="N44" s="22">
        <v>43860</v>
      </c>
      <c r="O44" s="22">
        <v>43895</v>
      </c>
      <c r="P44" s="21" t="s">
        <v>25</v>
      </c>
      <c r="Q44" s="21" t="s">
        <v>26</v>
      </c>
      <c r="R44" s="21" t="s">
        <v>27</v>
      </c>
      <c r="S44" s="24" t="s">
        <v>28</v>
      </c>
      <c r="T44" s="25" t="s">
        <v>29</v>
      </c>
      <c r="U44" s="21">
        <f t="shared" si="0"/>
        <v>16.92003331945023</v>
      </c>
      <c r="V44" s="40" t="s">
        <v>112</v>
      </c>
    </row>
    <row r="45" spans="1:22" x14ac:dyDescent="0.25">
      <c r="A45" s="38">
        <f t="shared" si="2"/>
        <v>44</v>
      </c>
      <c r="B45" s="27" t="s">
        <v>39</v>
      </c>
      <c r="C45" s="27" t="s">
        <v>21</v>
      </c>
      <c r="D45" s="28">
        <v>20965</v>
      </c>
      <c r="E45" s="27">
        <v>161</v>
      </c>
      <c r="F45" s="27">
        <v>65</v>
      </c>
      <c r="G45" s="27" t="s">
        <v>22</v>
      </c>
      <c r="H45" s="27" t="s">
        <v>35</v>
      </c>
      <c r="I45" s="27">
        <v>13</v>
      </c>
      <c r="J45" s="27" t="s">
        <v>29</v>
      </c>
      <c r="K45" s="27" t="s">
        <v>29</v>
      </c>
      <c r="L45" s="27" t="s">
        <v>46</v>
      </c>
      <c r="M45" s="30" t="s">
        <v>72</v>
      </c>
      <c r="N45" s="28">
        <v>43878</v>
      </c>
      <c r="O45" s="28">
        <v>43893</v>
      </c>
      <c r="P45" s="27" t="s">
        <v>38</v>
      </c>
      <c r="Q45" s="27" t="s">
        <v>26</v>
      </c>
      <c r="R45" s="27" t="s">
        <v>34</v>
      </c>
      <c r="S45" s="30" t="s">
        <v>28</v>
      </c>
      <c r="T45" s="31" t="s">
        <v>29</v>
      </c>
      <c r="U45" s="27">
        <f t="shared" si="0"/>
        <v>25.076193048107708</v>
      </c>
      <c r="V45" s="41" t="s">
        <v>109</v>
      </c>
    </row>
    <row r="46" spans="1:22" x14ac:dyDescent="0.25">
      <c r="A46" s="37">
        <f t="shared" si="2"/>
        <v>45</v>
      </c>
      <c r="B46" s="21" t="s">
        <v>39</v>
      </c>
      <c r="C46" s="21" t="s">
        <v>21</v>
      </c>
      <c r="D46" s="22">
        <v>34824</v>
      </c>
      <c r="E46" s="21">
        <v>161</v>
      </c>
      <c r="F46" s="21">
        <v>76</v>
      </c>
      <c r="G46" s="21" t="s">
        <v>22</v>
      </c>
      <c r="H46" s="21" t="s">
        <v>35</v>
      </c>
      <c r="I46" s="21">
        <v>10</v>
      </c>
      <c r="J46" s="27" t="s">
        <v>29</v>
      </c>
      <c r="K46" s="27" t="s">
        <v>29</v>
      </c>
      <c r="L46" s="21" t="s">
        <v>55</v>
      </c>
      <c r="M46" s="24" t="s">
        <v>95</v>
      </c>
      <c r="N46" s="22">
        <v>43831</v>
      </c>
      <c r="O46" s="22">
        <v>43855</v>
      </c>
      <c r="P46" s="21" t="s">
        <v>38</v>
      </c>
      <c r="Q46" s="21" t="s">
        <v>26</v>
      </c>
      <c r="R46" s="21" t="s">
        <v>34</v>
      </c>
      <c r="S46" s="24" t="s">
        <v>28</v>
      </c>
      <c r="T46" s="25" t="s">
        <v>29</v>
      </c>
      <c r="U46" s="21">
        <f t="shared" si="0"/>
        <v>29.319856487018246</v>
      </c>
      <c r="V46" s="40" t="s">
        <v>109</v>
      </c>
    </row>
    <row r="47" spans="1:22" x14ac:dyDescent="0.25">
      <c r="A47" s="38">
        <f t="shared" si="2"/>
        <v>46</v>
      </c>
      <c r="B47" s="27" t="s">
        <v>20</v>
      </c>
      <c r="C47" s="27" t="s">
        <v>30</v>
      </c>
      <c r="D47" s="28">
        <v>34460</v>
      </c>
      <c r="E47" s="27">
        <v>171</v>
      </c>
      <c r="F47" s="27">
        <v>76</v>
      </c>
      <c r="G47" s="27" t="s">
        <v>31</v>
      </c>
      <c r="H47" s="27" t="s">
        <v>35</v>
      </c>
      <c r="I47" s="27">
        <v>10</v>
      </c>
      <c r="J47" s="27" t="s">
        <v>29</v>
      </c>
      <c r="K47" s="27" t="s">
        <v>29</v>
      </c>
      <c r="L47" s="27" t="s">
        <v>55</v>
      </c>
      <c r="M47" s="30" t="s">
        <v>95</v>
      </c>
      <c r="N47" s="28">
        <v>43521</v>
      </c>
      <c r="O47" s="28">
        <v>43527</v>
      </c>
      <c r="P47" s="27" t="s">
        <v>38</v>
      </c>
      <c r="Q47" s="27" t="s">
        <v>26</v>
      </c>
      <c r="R47" s="27" t="s">
        <v>34</v>
      </c>
      <c r="S47" s="30" t="s">
        <v>48</v>
      </c>
      <c r="T47" s="31" t="s">
        <v>29</v>
      </c>
      <c r="U47" s="27">
        <f t="shared" si="0"/>
        <v>25.990903183885642</v>
      </c>
      <c r="V47" s="41" t="s">
        <v>109</v>
      </c>
    </row>
    <row r="48" spans="1:22" x14ac:dyDescent="0.25">
      <c r="A48" s="37">
        <f t="shared" si="2"/>
        <v>47</v>
      </c>
      <c r="B48" s="21" t="s">
        <v>20</v>
      </c>
      <c r="C48" s="21" t="s">
        <v>30</v>
      </c>
      <c r="D48" s="22">
        <v>33001</v>
      </c>
      <c r="E48" s="21">
        <v>171</v>
      </c>
      <c r="F48" s="21">
        <v>86</v>
      </c>
      <c r="G48" s="21" t="s">
        <v>31</v>
      </c>
      <c r="H48" s="21" t="s">
        <v>22</v>
      </c>
      <c r="I48" s="21">
        <v>19</v>
      </c>
      <c r="J48" s="27" t="s">
        <v>124</v>
      </c>
      <c r="K48" s="27" t="s">
        <v>29</v>
      </c>
      <c r="L48" s="21" t="s">
        <v>55</v>
      </c>
      <c r="M48" s="24" t="s">
        <v>96</v>
      </c>
      <c r="N48" s="22">
        <v>43604</v>
      </c>
      <c r="O48" s="22">
        <v>43610</v>
      </c>
      <c r="P48" s="21" t="s">
        <v>42</v>
      </c>
      <c r="Q48" s="21" t="s">
        <v>43</v>
      </c>
      <c r="R48" s="21" t="s">
        <v>44</v>
      </c>
      <c r="S48" s="24" t="s">
        <v>48</v>
      </c>
      <c r="T48" s="25" t="s">
        <v>49</v>
      </c>
      <c r="U48" s="21">
        <f t="shared" si="0"/>
        <v>29.410758865975858</v>
      </c>
      <c r="V48" s="40" t="s">
        <v>109</v>
      </c>
    </row>
    <row r="49" spans="1:22" x14ac:dyDescent="0.25">
      <c r="A49" s="38">
        <f t="shared" si="2"/>
        <v>48</v>
      </c>
      <c r="B49" s="27" t="s">
        <v>39</v>
      </c>
      <c r="C49" s="27" t="s">
        <v>21</v>
      </c>
      <c r="D49" s="28">
        <v>33011</v>
      </c>
      <c r="E49" s="27">
        <v>191</v>
      </c>
      <c r="F49" s="27">
        <v>80</v>
      </c>
      <c r="G49" s="27" t="s">
        <v>35</v>
      </c>
      <c r="H49" s="27" t="s">
        <v>35</v>
      </c>
      <c r="I49" s="27">
        <v>9</v>
      </c>
      <c r="J49" s="27" t="s">
        <v>124</v>
      </c>
      <c r="K49" s="27" t="s">
        <v>29</v>
      </c>
      <c r="L49" s="27" t="s">
        <v>64</v>
      </c>
      <c r="M49" s="30" t="s">
        <v>96</v>
      </c>
      <c r="N49" s="28">
        <v>43772</v>
      </c>
      <c r="O49" s="28">
        <v>43837</v>
      </c>
      <c r="P49" s="27" t="s">
        <v>42</v>
      </c>
      <c r="Q49" s="27" t="s">
        <v>26</v>
      </c>
      <c r="R49" s="27" t="s">
        <v>44</v>
      </c>
      <c r="S49" s="30" t="s">
        <v>28</v>
      </c>
      <c r="T49" s="31" t="s">
        <v>49</v>
      </c>
      <c r="U49" s="27">
        <f t="shared" si="0"/>
        <v>21.929223431375238</v>
      </c>
      <c r="V49" s="41" t="s">
        <v>108</v>
      </c>
    </row>
    <row r="50" spans="1:22" x14ac:dyDescent="0.25">
      <c r="A50" s="37">
        <f t="shared" si="2"/>
        <v>49</v>
      </c>
      <c r="B50" s="21" t="s">
        <v>39</v>
      </c>
      <c r="C50" s="21" t="s">
        <v>30</v>
      </c>
      <c r="D50" s="22">
        <v>33195</v>
      </c>
      <c r="E50" s="21">
        <v>191</v>
      </c>
      <c r="F50" s="21">
        <v>87</v>
      </c>
      <c r="G50" s="21" t="s">
        <v>31</v>
      </c>
      <c r="H50" s="21" t="s">
        <v>35</v>
      </c>
      <c r="I50" s="21">
        <v>0</v>
      </c>
      <c r="J50" s="27" t="s">
        <v>124</v>
      </c>
      <c r="K50" s="27" t="s">
        <v>29</v>
      </c>
      <c r="L50" s="21" t="s">
        <v>97</v>
      </c>
      <c r="M50" s="24" t="s">
        <v>54</v>
      </c>
      <c r="N50" s="22">
        <v>43860</v>
      </c>
      <c r="O50" s="22" t="s">
        <v>98</v>
      </c>
      <c r="P50" s="21" t="s">
        <v>42</v>
      </c>
      <c r="Q50" s="21" t="s">
        <v>43</v>
      </c>
      <c r="R50" s="21" t="s">
        <v>44</v>
      </c>
      <c r="S50" s="24" t="s">
        <v>99</v>
      </c>
      <c r="T50" s="25" t="s">
        <v>45</v>
      </c>
      <c r="U50" s="21">
        <f t="shared" si="0"/>
        <v>23.848030481620569</v>
      </c>
      <c r="V50" s="40" t="s">
        <v>108</v>
      </c>
    </row>
    <row r="51" spans="1:22" x14ac:dyDescent="0.25">
      <c r="A51" s="38">
        <f t="shared" si="2"/>
        <v>50</v>
      </c>
      <c r="B51" s="27" t="s">
        <v>20</v>
      </c>
      <c r="C51" s="27" t="s">
        <v>21</v>
      </c>
      <c r="D51" s="28">
        <v>33203</v>
      </c>
      <c r="E51" s="27">
        <v>167</v>
      </c>
      <c r="F51" s="27">
        <v>87</v>
      </c>
      <c r="G51" s="27" t="s">
        <v>35</v>
      </c>
      <c r="H51" s="27" t="s">
        <v>35</v>
      </c>
      <c r="I51" s="27">
        <v>30</v>
      </c>
      <c r="J51" s="27" t="s">
        <v>124</v>
      </c>
      <c r="K51" s="27" t="s">
        <v>29</v>
      </c>
      <c r="L51" s="27" t="s">
        <v>77</v>
      </c>
      <c r="M51" s="30" t="s">
        <v>58</v>
      </c>
      <c r="N51" s="28">
        <v>43863</v>
      </c>
      <c r="O51" s="28">
        <v>43878</v>
      </c>
      <c r="P51" s="27" t="s">
        <v>25</v>
      </c>
      <c r="Q51" s="27" t="s">
        <v>26</v>
      </c>
      <c r="R51" s="27" t="s">
        <v>27</v>
      </c>
      <c r="S51" s="30" t="s">
        <v>28</v>
      </c>
      <c r="T51" s="31" t="s">
        <v>49</v>
      </c>
      <c r="U51" s="27">
        <f t="shared" si="0"/>
        <v>31.1950948402596</v>
      </c>
      <c r="V51" s="41" t="s">
        <v>113</v>
      </c>
    </row>
    <row r="52" spans="1:22" x14ac:dyDescent="0.25">
      <c r="A52" s="37">
        <f t="shared" si="2"/>
        <v>51</v>
      </c>
      <c r="B52" s="21" t="s">
        <v>20</v>
      </c>
      <c r="C52" s="21" t="s">
        <v>21</v>
      </c>
      <c r="D52" s="22">
        <v>43485</v>
      </c>
      <c r="E52" s="21">
        <v>120</v>
      </c>
      <c r="F52" s="21">
        <v>20</v>
      </c>
      <c r="G52" s="21" t="s">
        <v>22</v>
      </c>
      <c r="H52" s="21" t="s">
        <v>35</v>
      </c>
      <c r="I52" s="21">
        <v>20</v>
      </c>
      <c r="J52" s="27" t="s">
        <v>124</v>
      </c>
      <c r="K52" s="27" t="s">
        <v>29</v>
      </c>
      <c r="L52" s="21" t="s">
        <v>40</v>
      </c>
      <c r="M52" s="24" t="s">
        <v>63</v>
      </c>
      <c r="N52" s="22">
        <v>43878</v>
      </c>
      <c r="O52" s="22">
        <v>43891</v>
      </c>
      <c r="P52" s="21" t="s">
        <v>25</v>
      </c>
      <c r="Q52" s="21" t="s">
        <v>26</v>
      </c>
      <c r="R52" s="21" t="s">
        <v>44</v>
      </c>
      <c r="S52" s="24" t="s">
        <v>28</v>
      </c>
      <c r="T52" s="25" t="s">
        <v>29</v>
      </c>
      <c r="U52" s="21">
        <f t="shared" si="0"/>
        <v>13.888888888888889</v>
      </c>
      <c r="V52" s="40" t="s">
        <v>111</v>
      </c>
    </row>
    <row r="53" spans="1:22" x14ac:dyDescent="0.25">
      <c r="A53" s="38">
        <f t="shared" si="2"/>
        <v>52</v>
      </c>
      <c r="B53" s="27" t="s">
        <v>20</v>
      </c>
      <c r="C53" s="27" t="s">
        <v>21</v>
      </c>
      <c r="D53" s="28">
        <v>39102</v>
      </c>
      <c r="E53" s="27">
        <v>145</v>
      </c>
      <c r="F53" s="27">
        <v>42</v>
      </c>
      <c r="G53" s="27" t="s">
        <v>22</v>
      </c>
      <c r="H53" s="27" t="s">
        <v>22</v>
      </c>
      <c r="I53" s="27">
        <v>22</v>
      </c>
      <c r="J53" s="27" t="s">
        <v>124</v>
      </c>
      <c r="K53" s="27" t="s">
        <v>29</v>
      </c>
      <c r="L53" s="27" t="s">
        <v>40</v>
      </c>
      <c r="M53" s="30" t="s">
        <v>63</v>
      </c>
      <c r="N53" s="28">
        <v>43772</v>
      </c>
      <c r="O53" s="28">
        <v>43837</v>
      </c>
      <c r="P53" s="27" t="s">
        <v>42</v>
      </c>
      <c r="Q53" s="27" t="s">
        <v>43</v>
      </c>
      <c r="R53" s="27" t="s">
        <v>52</v>
      </c>
      <c r="S53" s="30" t="s">
        <v>28</v>
      </c>
      <c r="T53" s="31" t="s">
        <v>29</v>
      </c>
      <c r="U53" s="27">
        <f t="shared" si="0"/>
        <v>19.976218787158146</v>
      </c>
      <c r="V53" s="41" t="s">
        <v>108</v>
      </c>
    </row>
    <row r="54" spans="1:22" x14ac:dyDescent="0.25">
      <c r="A54" s="37">
        <f t="shared" si="2"/>
        <v>53</v>
      </c>
      <c r="B54" s="21" t="s">
        <v>20</v>
      </c>
      <c r="C54" s="21" t="s">
        <v>21</v>
      </c>
      <c r="D54" s="22">
        <v>36970</v>
      </c>
      <c r="E54" s="21">
        <v>145</v>
      </c>
      <c r="F54" s="21">
        <v>68</v>
      </c>
      <c r="G54" s="21" t="s">
        <v>22</v>
      </c>
      <c r="H54" s="21" t="s">
        <v>35</v>
      </c>
      <c r="I54" s="21">
        <v>20</v>
      </c>
      <c r="J54" s="27" t="s">
        <v>124</v>
      </c>
      <c r="K54" s="27" t="s">
        <v>29</v>
      </c>
      <c r="L54" s="21" t="s">
        <v>40</v>
      </c>
      <c r="M54" s="24" t="s">
        <v>83</v>
      </c>
      <c r="N54" s="22">
        <v>43683</v>
      </c>
      <c r="O54" s="22">
        <v>43710</v>
      </c>
      <c r="P54" s="21" t="s">
        <v>42</v>
      </c>
      <c r="Q54" s="21" t="s">
        <v>43</v>
      </c>
      <c r="R54" s="21" t="s">
        <v>44</v>
      </c>
      <c r="S54" s="24" t="s">
        <v>28</v>
      </c>
      <c r="T54" s="25" t="s">
        <v>29</v>
      </c>
      <c r="U54" s="21">
        <f t="shared" si="0"/>
        <v>32.342449464922709</v>
      </c>
      <c r="V54" s="40" t="s">
        <v>113</v>
      </c>
    </row>
    <row r="55" spans="1:22" x14ac:dyDescent="0.25">
      <c r="A55" s="38">
        <f t="shared" si="2"/>
        <v>54</v>
      </c>
      <c r="B55" s="27" t="s">
        <v>39</v>
      </c>
      <c r="C55" s="27" t="s">
        <v>30</v>
      </c>
      <c r="D55" s="28">
        <v>40257</v>
      </c>
      <c r="E55" s="27">
        <v>172</v>
      </c>
      <c r="F55" s="27">
        <v>104</v>
      </c>
      <c r="G55" s="27" t="s">
        <v>31</v>
      </c>
      <c r="H55" s="27" t="s">
        <v>35</v>
      </c>
      <c r="I55" s="27">
        <v>0</v>
      </c>
      <c r="J55" s="27" t="s">
        <v>124</v>
      </c>
      <c r="K55" s="27" t="s">
        <v>29</v>
      </c>
      <c r="L55" s="27" t="s">
        <v>100</v>
      </c>
      <c r="M55" s="30" t="s">
        <v>83</v>
      </c>
      <c r="N55" s="28">
        <v>43831</v>
      </c>
      <c r="O55" s="28">
        <v>43855</v>
      </c>
      <c r="P55" s="27" t="s">
        <v>25</v>
      </c>
      <c r="Q55" s="27" t="s">
        <v>26</v>
      </c>
      <c r="R55" s="27" t="s">
        <v>27</v>
      </c>
      <c r="S55" s="30" t="s">
        <v>28</v>
      </c>
      <c r="T55" s="31" t="s">
        <v>29</v>
      </c>
      <c r="U55" s="27">
        <f t="shared" si="0"/>
        <v>35.154137371552196</v>
      </c>
      <c r="V55" s="41" t="s">
        <v>114</v>
      </c>
    </row>
    <row r="56" spans="1:22" x14ac:dyDescent="0.25">
      <c r="A56" s="37">
        <f t="shared" si="2"/>
        <v>55</v>
      </c>
      <c r="B56" s="21" t="s">
        <v>39</v>
      </c>
      <c r="C56" s="21" t="s">
        <v>30</v>
      </c>
      <c r="D56" s="22">
        <v>36205</v>
      </c>
      <c r="E56" s="21">
        <v>192</v>
      </c>
      <c r="F56" s="21">
        <v>110</v>
      </c>
      <c r="G56" s="21" t="s">
        <v>31</v>
      </c>
      <c r="H56" s="21" t="s">
        <v>22</v>
      </c>
      <c r="I56" s="21">
        <v>30</v>
      </c>
      <c r="J56" s="27" t="s">
        <v>124</v>
      </c>
      <c r="K56" s="27" t="s">
        <v>29</v>
      </c>
      <c r="L56" s="21" t="s">
        <v>32</v>
      </c>
      <c r="M56" s="24" t="s">
        <v>37</v>
      </c>
      <c r="N56" s="22">
        <v>43860</v>
      </c>
      <c r="O56" s="22">
        <v>43895</v>
      </c>
      <c r="P56" s="21" t="s">
        <v>38</v>
      </c>
      <c r="Q56" s="21" t="s">
        <v>26</v>
      </c>
      <c r="R56" s="21" t="s">
        <v>27</v>
      </c>
      <c r="S56" s="24" t="s">
        <v>28</v>
      </c>
      <c r="T56" s="25" t="s">
        <v>49</v>
      </c>
      <c r="U56" s="21">
        <f t="shared" si="0"/>
        <v>29.839409722222221</v>
      </c>
      <c r="V56" s="40" t="s">
        <v>109</v>
      </c>
    </row>
    <row r="57" spans="1:22" x14ac:dyDescent="0.25">
      <c r="A57" s="38">
        <f t="shared" si="2"/>
        <v>56</v>
      </c>
      <c r="B57" s="27" t="s">
        <v>20</v>
      </c>
      <c r="C57" s="27" t="s">
        <v>21</v>
      </c>
      <c r="D57" s="28">
        <v>28535</v>
      </c>
      <c r="E57" s="27">
        <v>192</v>
      </c>
      <c r="F57" s="27">
        <v>89</v>
      </c>
      <c r="G57" s="27" t="s">
        <v>90</v>
      </c>
      <c r="H57" s="27" t="s">
        <v>35</v>
      </c>
      <c r="I57" s="27">
        <v>25</v>
      </c>
      <c r="J57" s="27" t="s">
        <v>124</v>
      </c>
      <c r="K57" s="27" t="s">
        <v>29</v>
      </c>
      <c r="L57" s="27" t="s">
        <v>36</v>
      </c>
      <c r="M57" s="30" t="s">
        <v>89</v>
      </c>
      <c r="N57" s="28">
        <v>43604</v>
      </c>
      <c r="O57" s="28">
        <v>43610</v>
      </c>
      <c r="P57" s="27" t="s">
        <v>42</v>
      </c>
      <c r="Q57" s="27" t="s">
        <v>43</v>
      </c>
      <c r="R57" s="27" t="s">
        <v>52</v>
      </c>
      <c r="S57" s="30" t="s">
        <v>28</v>
      </c>
      <c r="T57" s="31" t="s">
        <v>29</v>
      </c>
      <c r="U57" s="27">
        <f t="shared" si="0"/>
        <v>24.142795138888889</v>
      </c>
      <c r="V57" s="41" t="s">
        <v>108</v>
      </c>
    </row>
    <row r="58" spans="1:22" x14ac:dyDescent="0.25">
      <c r="A58" s="37">
        <f t="shared" si="2"/>
        <v>57</v>
      </c>
      <c r="B58" s="21" t="s">
        <v>39</v>
      </c>
      <c r="C58" s="21" t="s">
        <v>30</v>
      </c>
      <c r="D58" s="22">
        <v>28545</v>
      </c>
      <c r="E58" s="21">
        <v>162</v>
      </c>
      <c r="F58" s="21">
        <v>93</v>
      </c>
      <c r="G58" s="21" t="s">
        <v>31</v>
      </c>
      <c r="H58" s="21" t="s">
        <v>35</v>
      </c>
      <c r="I58" s="21">
        <v>25</v>
      </c>
      <c r="J58" s="27" t="s">
        <v>124</v>
      </c>
      <c r="K58" s="27" t="s">
        <v>29</v>
      </c>
      <c r="L58" s="21" t="s">
        <v>36</v>
      </c>
      <c r="M58" s="24" t="s">
        <v>89</v>
      </c>
      <c r="N58" s="22">
        <v>43878</v>
      </c>
      <c r="O58" s="22">
        <v>43893</v>
      </c>
      <c r="P58" s="21" t="s">
        <v>42</v>
      </c>
      <c r="Q58" s="21" t="s">
        <v>43</v>
      </c>
      <c r="R58" s="21" t="s">
        <v>52</v>
      </c>
      <c r="S58" s="24" t="s">
        <v>28</v>
      </c>
      <c r="T58" s="25" t="s">
        <v>29</v>
      </c>
      <c r="U58" s="21">
        <f t="shared" si="0"/>
        <v>35.436671239140367</v>
      </c>
      <c r="V58" s="40" t="s">
        <v>114</v>
      </c>
    </row>
    <row r="59" spans="1:22" x14ac:dyDescent="0.25">
      <c r="A59" s="38">
        <f t="shared" si="2"/>
        <v>58</v>
      </c>
      <c r="B59" s="27" t="s">
        <v>39</v>
      </c>
      <c r="C59" s="27" t="s">
        <v>30</v>
      </c>
      <c r="D59" s="28">
        <v>21240</v>
      </c>
      <c r="E59" s="27">
        <v>162</v>
      </c>
      <c r="F59" s="27">
        <v>93</v>
      </c>
      <c r="G59" s="27" t="s">
        <v>31</v>
      </c>
      <c r="H59" s="27" t="s">
        <v>35</v>
      </c>
      <c r="I59" s="27">
        <v>25</v>
      </c>
      <c r="J59" s="27" t="s">
        <v>124</v>
      </c>
      <c r="K59" s="27" t="s">
        <v>29</v>
      </c>
      <c r="L59" s="27" t="s">
        <v>36</v>
      </c>
      <c r="M59" s="30" t="s">
        <v>56</v>
      </c>
      <c r="N59" s="28">
        <v>43772</v>
      </c>
      <c r="O59" s="28">
        <v>43837</v>
      </c>
      <c r="P59" s="27" t="s">
        <v>42</v>
      </c>
      <c r="Q59" s="27" t="s">
        <v>43</v>
      </c>
      <c r="R59" s="27" t="s">
        <v>52</v>
      </c>
      <c r="S59" s="30" t="s">
        <v>53</v>
      </c>
      <c r="T59" s="31" t="s">
        <v>29</v>
      </c>
      <c r="U59" s="27">
        <f t="shared" si="0"/>
        <v>35.436671239140367</v>
      </c>
      <c r="V59" s="41" t="s">
        <v>114</v>
      </c>
    </row>
    <row r="60" spans="1:22" x14ac:dyDescent="0.25">
      <c r="A60" s="37">
        <f t="shared" si="2"/>
        <v>59</v>
      </c>
      <c r="B60" s="21" t="s">
        <v>20</v>
      </c>
      <c r="C60" s="21" t="s">
        <v>30</v>
      </c>
      <c r="D60" s="22">
        <v>33658</v>
      </c>
      <c r="E60" s="21">
        <v>162</v>
      </c>
      <c r="F60" s="21">
        <v>65</v>
      </c>
      <c r="G60" s="21" t="s">
        <v>31</v>
      </c>
      <c r="H60" s="21" t="s">
        <v>35</v>
      </c>
      <c r="I60" s="21">
        <v>0</v>
      </c>
      <c r="J60" s="27" t="s">
        <v>124</v>
      </c>
      <c r="K60" s="27" t="s">
        <v>29</v>
      </c>
      <c r="L60" s="21" t="s">
        <v>36</v>
      </c>
      <c r="M60" s="24" t="s">
        <v>56</v>
      </c>
      <c r="N60" s="22">
        <v>43521</v>
      </c>
      <c r="O60" s="22">
        <v>43527</v>
      </c>
      <c r="P60" s="21" t="s">
        <v>42</v>
      </c>
      <c r="Q60" s="21" t="s">
        <v>43</v>
      </c>
      <c r="R60" s="21" t="s">
        <v>52</v>
      </c>
      <c r="S60" s="24" t="s">
        <v>53</v>
      </c>
      <c r="T60" s="25" t="s">
        <v>29</v>
      </c>
      <c r="U60" s="21">
        <f t="shared" si="0"/>
        <v>24.767565919829291</v>
      </c>
      <c r="V60" s="40" t="s">
        <v>108</v>
      </c>
    </row>
    <row r="61" spans="1:22" x14ac:dyDescent="0.25">
      <c r="A61" s="38">
        <f t="shared" si="2"/>
        <v>60</v>
      </c>
      <c r="B61" s="27" t="s">
        <v>39</v>
      </c>
      <c r="C61" s="27" t="s">
        <v>21</v>
      </c>
      <c r="D61" s="28">
        <v>33658</v>
      </c>
      <c r="E61" s="27">
        <v>162</v>
      </c>
      <c r="F61" s="27">
        <v>65</v>
      </c>
      <c r="G61" s="27" t="s">
        <v>35</v>
      </c>
      <c r="H61" s="27" t="s">
        <v>35</v>
      </c>
      <c r="I61" s="27">
        <v>0</v>
      </c>
      <c r="J61" s="27" t="s">
        <v>124</v>
      </c>
      <c r="K61" s="27" t="s">
        <v>29</v>
      </c>
      <c r="L61" s="27" t="s">
        <v>36</v>
      </c>
      <c r="M61" s="30" t="s">
        <v>56</v>
      </c>
      <c r="N61" s="28">
        <v>43604</v>
      </c>
      <c r="O61" s="28">
        <v>43610</v>
      </c>
      <c r="P61" s="27" t="s">
        <v>42</v>
      </c>
      <c r="Q61" s="27" t="s">
        <v>43</v>
      </c>
      <c r="R61" s="27" t="s">
        <v>52</v>
      </c>
      <c r="S61" s="30" t="s">
        <v>53</v>
      </c>
      <c r="T61" s="31" t="s">
        <v>29</v>
      </c>
      <c r="U61" s="27">
        <f t="shared" si="0"/>
        <v>24.767565919829291</v>
      </c>
      <c r="V61" s="41" t="s">
        <v>108</v>
      </c>
    </row>
    <row r="62" spans="1:22" x14ac:dyDescent="0.25">
      <c r="A62" s="37">
        <f t="shared" si="2"/>
        <v>61</v>
      </c>
      <c r="B62" s="21" t="s">
        <v>20</v>
      </c>
      <c r="C62" s="21" t="s">
        <v>30</v>
      </c>
      <c r="D62" s="22">
        <v>37054</v>
      </c>
      <c r="E62" s="21">
        <v>187</v>
      </c>
      <c r="F62" s="21">
        <v>71</v>
      </c>
      <c r="G62" s="21" t="s">
        <v>31</v>
      </c>
      <c r="H62" s="21" t="s">
        <v>35</v>
      </c>
      <c r="I62" s="21">
        <v>0</v>
      </c>
      <c r="J62" s="27" t="s">
        <v>124</v>
      </c>
      <c r="K62" s="27" t="s">
        <v>29</v>
      </c>
      <c r="L62" s="21" t="s">
        <v>62</v>
      </c>
      <c r="M62" s="24" t="s">
        <v>83</v>
      </c>
      <c r="N62" s="22">
        <v>43863</v>
      </c>
      <c r="O62" s="22">
        <v>43878</v>
      </c>
      <c r="P62" s="21" t="s">
        <v>38</v>
      </c>
      <c r="Q62" s="21" t="s">
        <v>26</v>
      </c>
      <c r="R62" s="21" t="s">
        <v>34</v>
      </c>
      <c r="S62" s="24" t="s">
        <v>28</v>
      </c>
      <c r="T62" s="25" t="s">
        <v>29</v>
      </c>
      <c r="U62" s="21">
        <f t="shared" si="0"/>
        <v>20.303697560696612</v>
      </c>
      <c r="V62" s="40" t="s">
        <v>108</v>
      </c>
    </row>
    <row r="63" spans="1:22" x14ac:dyDescent="0.25">
      <c r="A63" s="38">
        <f t="shared" si="2"/>
        <v>62</v>
      </c>
      <c r="B63" s="27" t="s">
        <v>20</v>
      </c>
      <c r="C63" s="27" t="s">
        <v>30</v>
      </c>
      <c r="D63" s="28">
        <v>37146</v>
      </c>
      <c r="E63" s="27">
        <v>187</v>
      </c>
      <c r="F63" s="27">
        <v>91</v>
      </c>
      <c r="G63" s="27" t="s">
        <v>31</v>
      </c>
      <c r="H63" s="27" t="s">
        <v>22</v>
      </c>
      <c r="I63" s="27">
        <v>20</v>
      </c>
      <c r="J63" s="27" t="s">
        <v>124</v>
      </c>
      <c r="K63" s="27" t="s">
        <v>29</v>
      </c>
      <c r="L63" s="27" t="s">
        <v>62</v>
      </c>
      <c r="M63" s="30" t="s">
        <v>83</v>
      </c>
      <c r="N63" s="28">
        <v>43860</v>
      </c>
      <c r="O63" s="28">
        <v>43895</v>
      </c>
      <c r="P63" s="27" t="s">
        <v>38</v>
      </c>
      <c r="Q63" s="27" t="s">
        <v>26</v>
      </c>
      <c r="R63" s="27" t="s">
        <v>34</v>
      </c>
      <c r="S63" s="30" t="s">
        <v>28</v>
      </c>
      <c r="T63" s="31" t="s">
        <v>29</v>
      </c>
      <c r="U63" s="27">
        <f t="shared" si="0"/>
        <v>26.023048986244955</v>
      </c>
      <c r="V63" s="41" t="s">
        <v>109</v>
      </c>
    </row>
    <row r="64" spans="1:22" x14ac:dyDescent="0.25">
      <c r="A64" s="37">
        <f t="shared" si="2"/>
        <v>63</v>
      </c>
      <c r="B64" s="21" t="s">
        <v>20</v>
      </c>
      <c r="C64" s="21" t="s">
        <v>30</v>
      </c>
      <c r="D64" s="22">
        <v>36050</v>
      </c>
      <c r="E64" s="21">
        <v>187</v>
      </c>
      <c r="F64" s="21">
        <v>91</v>
      </c>
      <c r="G64" s="21" t="s">
        <v>31</v>
      </c>
      <c r="H64" s="21" t="s">
        <v>22</v>
      </c>
      <c r="I64" s="21">
        <v>20</v>
      </c>
      <c r="J64" s="27" t="s">
        <v>124</v>
      </c>
      <c r="K64" s="27" t="s">
        <v>29</v>
      </c>
      <c r="L64" s="21" t="s">
        <v>62</v>
      </c>
      <c r="M64" s="24" t="s">
        <v>83</v>
      </c>
      <c r="N64" s="22">
        <v>43878</v>
      </c>
      <c r="O64" s="22">
        <v>43891</v>
      </c>
      <c r="P64" s="21" t="s">
        <v>38</v>
      </c>
      <c r="Q64" s="21" t="s">
        <v>26</v>
      </c>
      <c r="R64" s="21" t="s">
        <v>34</v>
      </c>
      <c r="S64" s="24" t="s">
        <v>28</v>
      </c>
      <c r="T64" s="25" t="s">
        <v>49</v>
      </c>
      <c r="U64" s="21">
        <f t="shared" si="0"/>
        <v>26.023048986244955</v>
      </c>
      <c r="V64" s="40" t="s">
        <v>109</v>
      </c>
    </row>
    <row r="65" spans="1:22" x14ac:dyDescent="0.25">
      <c r="A65" s="38">
        <f t="shared" si="2"/>
        <v>64</v>
      </c>
      <c r="B65" s="27" t="s">
        <v>20</v>
      </c>
      <c r="C65" s="27" t="s">
        <v>30</v>
      </c>
      <c r="D65" s="28">
        <v>36050</v>
      </c>
      <c r="E65" s="27">
        <v>187</v>
      </c>
      <c r="F65" s="27">
        <v>91</v>
      </c>
      <c r="G65" s="27" t="s">
        <v>31</v>
      </c>
      <c r="H65" s="27" t="s">
        <v>22</v>
      </c>
      <c r="I65" s="27">
        <v>20</v>
      </c>
      <c r="J65" s="27" t="s">
        <v>124</v>
      </c>
      <c r="K65" s="27" t="s">
        <v>29</v>
      </c>
      <c r="L65" s="27" t="s">
        <v>101</v>
      </c>
      <c r="M65" s="30" t="s">
        <v>63</v>
      </c>
      <c r="N65" s="28">
        <v>43604</v>
      </c>
      <c r="O65" s="28">
        <v>43610</v>
      </c>
      <c r="P65" s="27" t="s">
        <v>38</v>
      </c>
      <c r="Q65" s="27" t="s">
        <v>26</v>
      </c>
      <c r="R65" s="27" t="s">
        <v>34</v>
      </c>
      <c r="S65" s="30" t="s">
        <v>28</v>
      </c>
      <c r="T65" s="31" t="s">
        <v>49</v>
      </c>
      <c r="U65" s="27">
        <f t="shared" si="0"/>
        <v>26.023048986244955</v>
      </c>
      <c r="V65" s="41" t="s">
        <v>109</v>
      </c>
    </row>
    <row r="66" spans="1:22" x14ac:dyDescent="0.25">
      <c r="A66" s="37">
        <f t="shared" si="2"/>
        <v>65</v>
      </c>
      <c r="B66" s="21" t="s">
        <v>20</v>
      </c>
      <c r="C66" s="21" t="s">
        <v>21</v>
      </c>
      <c r="D66" s="22">
        <v>36050</v>
      </c>
      <c r="E66" s="21">
        <v>187</v>
      </c>
      <c r="F66" s="21">
        <v>91</v>
      </c>
      <c r="G66" s="21" t="s">
        <v>22</v>
      </c>
      <c r="H66" s="21" t="s">
        <v>22</v>
      </c>
      <c r="I66" s="21">
        <v>20</v>
      </c>
      <c r="J66" s="27" t="s">
        <v>124</v>
      </c>
      <c r="K66" s="27" t="s">
        <v>29</v>
      </c>
      <c r="L66" s="21" t="s">
        <v>101</v>
      </c>
      <c r="M66" s="24" t="s">
        <v>63</v>
      </c>
      <c r="N66" s="22">
        <v>43772</v>
      </c>
      <c r="O66" s="22">
        <v>43837</v>
      </c>
      <c r="P66" s="21" t="s">
        <v>38</v>
      </c>
      <c r="Q66" s="21" t="s">
        <v>26</v>
      </c>
      <c r="R66" s="21" t="s">
        <v>34</v>
      </c>
      <c r="S66" s="24" t="s">
        <v>28</v>
      </c>
      <c r="T66" s="25" t="s">
        <v>45</v>
      </c>
      <c r="U66" s="21">
        <f t="shared" ref="U66:U101" si="3">Imc(F66,E66)</f>
        <v>26.023048986244955</v>
      </c>
      <c r="V66" s="40" t="s">
        <v>109</v>
      </c>
    </row>
    <row r="67" spans="1:22" x14ac:dyDescent="0.25">
      <c r="A67" s="38">
        <f t="shared" si="2"/>
        <v>66</v>
      </c>
      <c r="B67" s="27" t="s">
        <v>20</v>
      </c>
      <c r="C67" s="27" t="s">
        <v>21</v>
      </c>
      <c r="D67" s="28">
        <v>36060</v>
      </c>
      <c r="E67" s="27">
        <v>187</v>
      </c>
      <c r="F67" s="27">
        <v>91</v>
      </c>
      <c r="G67" s="27" t="s">
        <v>22</v>
      </c>
      <c r="H67" s="27" t="s">
        <v>22</v>
      </c>
      <c r="I67" s="27">
        <v>20</v>
      </c>
      <c r="J67" s="27" t="s">
        <v>124</v>
      </c>
      <c r="K67" s="27" t="s">
        <v>29</v>
      </c>
      <c r="L67" s="27" t="s">
        <v>101</v>
      </c>
      <c r="M67" s="30" t="s">
        <v>63</v>
      </c>
      <c r="N67" s="28">
        <v>43683</v>
      </c>
      <c r="O67" s="28">
        <v>43710</v>
      </c>
      <c r="P67" s="27" t="s">
        <v>38</v>
      </c>
      <c r="Q67" s="27" t="s">
        <v>43</v>
      </c>
      <c r="R67" s="27" t="s">
        <v>34</v>
      </c>
      <c r="S67" s="30" t="s">
        <v>99</v>
      </c>
      <c r="T67" s="31" t="s">
        <v>45</v>
      </c>
      <c r="U67" s="27">
        <f t="shared" si="3"/>
        <v>26.023048986244955</v>
      </c>
      <c r="V67" s="41" t="s">
        <v>109</v>
      </c>
    </row>
    <row r="68" spans="1:22" x14ac:dyDescent="0.25">
      <c r="A68" s="37">
        <f t="shared" si="2"/>
        <v>67</v>
      </c>
      <c r="B68" s="21" t="s">
        <v>39</v>
      </c>
      <c r="C68" s="21" t="s">
        <v>21</v>
      </c>
      <c r="D68" s="22">
        <v>36060</v>
      </c>
      <c r="E68" s="21">
        <v>187</v>
      </c>
      <c r="F68" s="21">
        <v>91</v>
      </c>
      <c r="G68" s="21" t="s">
        <v>22</v>
      </c>
      <c r="H68" s="21" t="s">
        <v>22</v>
      </c>
      <c r="I68" s="21">
        <v>20</v>
      </c>
      <c r="J68" s="27" t="s">
        <v>124</v>
      </c>
      <c r="K68" s="27" t="s">
        <v>29</v>
      </c>
      <c r="L68" s="21" t="s">
        <v>81</v>
      </c>
      <c r="M68" s="24" t="s">
        <v>94</v>
      </c>
      <c r="N68" s="22">
        <v>43878</v>
      </c>
      <c r="O68" s="22">
        <v>43893</v>
      </c>
      <c r="P68" s="21" t="s">
        <v>38</v>
      </c>
      <c r="Q68" s="21" t="s">
        <v>43</v>
      </c>
      <c r="R68" s="21" t="s">
        <v>34</v>
      </c>
      <c r="S68" s="24" t="s">
        <v>99</v>
      </c>
      <c r="T68" s="25" t="s">
        <v>45</v>
      </c>
      <c r="U68" s="21">
        <f t="shared" si="3"/>
        <v>26.023048986244955</v>
      </c>
      <c r="V68" s="40" t="s">
        <v>109</v>
      </c>
    </row>
    <row r="69" spans="1:22" x14ac:dyDescent="0.25">
      <c r="A69" s="38">
        <f t="shared" si="2"/>
        <v>68</v>
      </c>
      <c r="B69" s="27" t="s">
        <v>39</v>
      </c>
      <c r="C69" s="27" t="s">
        <v>21</v>
      </c>
      <c r="D69" s="28">
        <v>36060</v>
      </c>
      <c r="E69" s="27">
        <v>187</v>
      </c>
      <c r="F69" s="27">
        <v>91</v>
      </c>
      <c r="G69" s="27" t="s">
        <v>22</v>
      </c>
      <c r="H69" s="27" t="s">
        <v>22</v>
      </c>
      <c r="I69" s="27">
        <v>20</v>
      </c>
      <c r="J69" s="27" t="s">
        <v>124</v>
      </c>
      <c r="K69" s="27" t="s">
        <v>29</v>
      </c>
      <c r="L69" s="27" t="s">
        <v>81</v>
      </c>
      <c r="M69" s="30" t="s">
        <v>94</v>
      </c>
      <c r="N69" s="28">
        <v>43860</v>
      </c>
      <c r="O69" s="28">
        <v>43895</v>
      </c>
      <c r="P69" s="27" t="s">
        <v>38</v>
      </c>
      <c r="Q69" s="27" t="s">
        <v>43</v>
      </c>
      <c r="R69" s="27" t="s">
        <v>34</v>
      </c>
      <c r="S69" s="30" t="s">
        <v>99</v>
      </c>
      <c r="T69" s="31" t="s">
        <v>45</v>
      </c>
      <c r="U69" s="27">
        <f t="shared" si="3"/>
        <v>26.023048986244955</v>
      </c>
      <c r="V69" s="41" t="s">
        <v>109</v>
      </c>
    </row>
    <row r="70" spans="1:22" x14ac:dyDescent="0.25">
      <c r="A70" s="37">
        <f t="shared" si="2"/>
        <v>69</v>
      </c>
      <c r="B70" s="21" t="s">
        <v>39</v>
      </c>
      <c r="C70" s="21" t="s">
        <v>21</v>
      </c>
      <c r="D70" s="22">
        <v>36060</v>
      </c>
      <c r="E70" s="21">
        <v>187</v>
      </c>
      <c r="F70" s="21">
        <v>91</v>
      </c>
      <c r="G70" s="21" t="s">
        <v>22</v>
      </c>
      <c r="H70" s="21" t="s">
        <v>35</v>
      </c>
      <c r="I70" s="21">
        <v>20</v>
      </c>
      <c r="J70" s="27" t="s">
        <v>124</v>
      </c>
      <c r="K70" s="27" t="s">
        <v>29</v>
      </c>
      <c r="L70" s="21" t="s">
        <v>81</v>
      </c>
      <c r="M70" s="24" t="s">
        <v>94</v>
      </c>
      <c r="N70" s="22">
        <v>43831</v>
      </c>
      <c r="O70" s="22">
        <v>43855</v>
      </c>
      <c r="P70" s="21" t="s">
        <v>38</v>
      </c>
      <c r="Q70" s="21" t="s">
        <v>43</v>
      </c>
      <c r="R70" s="21" t="s">
        <v>52</v>
      </c>
      <c r="S70" s="24" t="s">
        <v>53</v>
      </c>
      <c r="T70" s="25" t="s">
        <v>45</v>
      </c>
      <c r="U70" s="21">
        <f t="shared" si="3"/>
        <v>26.023048986244955</v>
      </c>
      <c r="V70" s="40" t="s">
        <v>109</v>
      </c>
    </row>
    <row r="71" spans="1:22" x14ac:dyDescent="0.25">
      <c r="A71" s="38">
        <f t="shared" si="2"/>
        <v>70</v>
      </c>
      <c r="B71" s="27" t="s">
        <v>39</v>
      </c>
      <c r="C71" s="27" t="s">
        <v>21</v>
      </c>
      <c r="D71" s="28">
        <v>18893</v>
      </c>
      <c r="E71" s="27">
        <v>187</v>
      </c>
      <c r="F71" s="27">
        <v>61</v>
      </c>
      <c r="G71" s="27" t="s">
        <v>22</v>
      </c>
      <c r="H71" s="27" t="s">
        <v>35</v>
      </c>
      <c r="I71" s="27">
        <v>20</v>
      </c>
      <c r="J71" s="27" t="s">
        <v>124</v>
      </c>
      <c r="K71" s="27" t="s">
        <v>29</v>
      </c>
      <c r="L71" s="27" t="s">
        <v>81</v>
      </c>
      <c r="M71" s="30" t="s">
        <v>94</v>
      </c>
      <c r="N71" s="28">
        <v>43521</v>
      </c>
      <c r="O71" s="28">
        <v>43527</v>
      </c>
      <c r="P71" s="27" t="s">
        <v>38</v>
      </c>
      <c r="Q71" s="27" t="s">
        <v>43</v>
      </c>
      <c r="R71" s="27" t="s">
        <v>52</v>
      </c>
      <c r="S71" s="30" t="s">
        <v>28</v>
      </c>
      <c r="T71" s="31" t="s">
        <v>45</v>
      </c>
      <c r="U71" s="27">
        <f t="shared" si="3"/>
        <v>17.444021847922443</v>
      </c>
      <c r="V71" s="41" t="s">
        <v>112</v>
      </c>
    </row>
    <row r="72" spans="1:22" x14ac:dyDescent="0.25">
      <c r="A72" s="37">
        <f t="shared" si="2"/>
        <v>71</v>
      </c>
      <c r="B72" s="21" t="s">
        <v>39</v>
      </c>
      <c r="C72" s="21" t="s">
        <v>21</v>
      </c>
      <c r="D72" s="22">
        <v>18893</v>
      </c>
      <c r="E72" s="21">
        <v>187</v>
      </c>
      <c r="F72" s="21">
        <v>61</v>
      </c>
      <c r="G72" s="21" t="s">
        <v>22</v>
      </c>
      <c r="H72" s="21" t="s">
        <v>35</v>
      </c>
      <c r="I72" s="21">
        <v>20</v>
      </c>
      <c r="J72" s="27" t="s">
        <v>124</v>
      </c>
      <c r="K72" s="27" t="s">
        <v>29</v>
      </c>
      <c r="L72" s="21" t="s">
        <v>81</v>
      </c>
      <c r="M72" s="24" t="s">
        <v>94</v>
      </c>
      <c r="N72" s="22">
        <v>43604</v>
      </c>
      <c r="O72" s="22">
        <v>43610</v>
      </c>
      <c r="P72" s="21" t="s">
        <v>38</v>
      </c>
      <c r="Q72" s="21" t="s">
        <v>43</v>
      </c>
      <c r="R72" s="21" t="s">
        <v>52</v>
      </c>
      <c r="S72" s="24" t="s">
        <v>28</v>
      </c>
      <c r="T72" s="25" t="s">
        <v>45</v>
      </c>
      <c r="U72" s="21">
        <f t="shared" si="3"/>
        <v>17.444021847922443</v>
      </c>
      <c r="V72" s="40" t="s">
        <v>112</v>
      </c>
    </row>
    <row r="73" spans="1:22" x14ac:dyDescent="0.25">
      <c r="A73" s="38">
        <f t="shared" si="2"/>
        <v>72</v>
      </c>
      <c r="B73" s="27" t="s">
        <v>39</v>
      </c>
      <c r="C73" s="27" t="s">
        <v>21</v>
      </c>
      <c r="D73" s="28">
        <v>31677</v>
      </c>
      <c r="E73" s="27">
        <v>187</v>
      </c>
      <c r="F73" s="27">
        <v>61</v>
      </c>
      <c r="G73" s="27" t="s">
        <v>35</v>
      </c>
      <c r="H73" s="27" t="s">
        <v>35</v>
      </c>
      <c r="I73" s="27">
        <v>20</v>
      </c>
      <c r="J73" s="27" t="s">
        <v>124</v>
      </c>
      <c r="K73" s="27" t="s">
        <v>29</v>
      </c>
      <c r="L73" s="27" t="s">
        <v>81</v>
      </c>
      <c r="M73" s="30" t="s">
        <v>47</v>
      </c>
      <c r="N73" s="28">
        <v>43772</v>
      </c>
      <c r="O73" s="28">
        <v>43837</v>
      </c>
      <c r="P73" s="27" t="s">
        <v>38</v>
      </c>
      <c r="Q73" s="27" t="s">
        <v>43</v>
      </c>
      <c r="R73" s="27" t="s">
        <v>34</v>
      </c>
      <c r="S73" s="30" t="s">
        <v>99</v>
      </c>
      <c r="T73" s="31" t="s">
        <v>49</v>
      </c>
      <c r="U73" s="27">
        <f t="shared" si="3"/>
        <v>17.444021847922443</v>
      </c>
      <c r="V73" s="41" t="s">
        <v>112</v>
      </c>
    </row>
    <row r="74" spans="1:22" x14ac:dyDescent="0.25">
      <c r="A74" s="37">
        <f t="shared" si="2"/>
        <v>73</v>
      </c>
      <c r="B74" s="21" t="s">
        <v>39</v>
      </c>
      <c r="C74" s="21" t="s">
        <v>21</v>
      </c>
      <c r="D74" s="22">
        <v>31677</v>
      </c>
      <c r="E74" s="21">
        <v>195</v>
      </c>
      <c r="F74" s="21">
        <v>61</v>
      </c>
      <c r="G74" s="21" t="s">
        <v>35</v>
      </c>
      <c r="H74" s="21" t="s">
        <v>35</v>
      </c>
      <c r="I74" s="21">
        <v>26</v>
      </c>
      <c r="J74" s="27" t="s">
        <v>29</v>
      </c>
      <c r="K74" s="27" t="s">
        <v>29</v>
      </c>
      <c r="L74" s="21" t="s">
        <v>55</v>
      </c>
      <c r="M74" s="24" t="s">
        <v>47</v>
      </c>
      <c r="N74" s="22">
        <v>43860</v>
      </c>
      <c r="O74" s="22">
        <v>43895</v>
      </c>
      <c r="P74" s="21" t="s">
        <v>38</v>
      </c>
      <c r="Q74" s="21" t="s">
        <v>43</v>
      </c>
      <c r="R74" s="21" t="s">
        <v>34</v>
      </c>
      <c r="S74" s="24" t="s">
        <v>99</v>
      </c>
      <c r="T74" s="25" t="s">
        <v>49</v>
      </c>
      <c r="U74" s="21">
        <f t="shared" si="3"/>
        <v>16.042077580539122</v>
      </c>
      <c r="V74" s="40" t="s">
        <v>111</v>
      </c>
    </row>
    <row r="75" spans="1:22" x14ac:dyDescent="0.25">
      <c r="A75" s="38">
        <f t="shared" si="2"/>
        <v>74</v>
      </c>
      <c r="B75" s="27" t="s">
        <v>20</v>
      </c>
      <c r="C75" s="27" t="s">
        <v>30</v>
      </c>
      <c r="D75" s="28">
        <v>34234</v>
      </c>
      <c r="E75" s="27">
        <v>195</v>
      </c>
      <c r="F75" s="27">
        <v>87</v>
      </c>
      <c r="G75" s="27" t="s">
        <v>31</v>
      </c>
      <c r="H75" s="27" t="s">
        <v>35</v>
      </c>
      <c r="I75" s="27">
        <v>26</v>
      </c>
      <c r="J75" s="27" t="s">
        <v>124</v>
      </c>
      <c r="K75" s="27" t="s">
        <v>29</v>
      </c>
      <c r="L75" s="27" t="s">
        <v>55</v>
      </c>
      <c r="M75" s="30" t="s">
        <v>47</v>
      </c>
      <c r="N75" s="28">
        <v>43878</v>
      </c>
      <c r="O75" s="28">
        <v>43891</v>
      </c>
      <c r="P75" s="27" t="s">
        <v>38</v>
      </c>
      <c r="Q75" s="27" t="s">
        <v>26</v>
      </c>
      <c r="R75" s="27" t="s">
        <v>34</v>
      </c>
      <c r="S75" s="30" t="s">
        <v>86</v>
      </c>
      <c r="T75" s="31" t="s">
        <v>49</v>
      </c>
      <c r="U75" s="27">
        <f t="shared" si="3"/>
        <v>22.87968441814596</v>
      </c>
      <c r="V75" s="41" t="s">
        <v>108</v>
      </c>
    </row>
    <row r="76" spans="1:22" x14ac:dyDescent="0.25">
      <c r="A76" s="37">
        <f t="shared" si="2"/>
        <v>75</v>
      </c>
      <c r="B76" s="21" t="s">
        <v>20</v>
      </c>
      <c r="C76" s="21" t="s">
        <v>21</v>
      </c>
      <c r="D76" s="22">
        <v>33138</v>
      </c>
      <c r="E76" s="21">
        <v>195</v>
      </c>
      <c r="F76" s="21">
        <v>87</v>
      </c>
      <c r="G76" s="21" t="s">
        <v>22</v>
      </c>
      <c r="H76" s="21" t="s">
        <v>35</v>
      </c>
      <c r="I76" s="21">
        <v>26</v>
      </c>
      <c r="J76" s="27" t="s">
        <v>124</v>
      </c>
      <c r="K76" s="27" t="s">
        <v>29</v>
      </c>
      <c r="L76" s="21" t="s">
        <v>55</v>
      </c>
      <c r="M76" s="24" t="s">
        <v>47</v>
      </c>
      <c r="N76" s="22">
        <v>43863</v>
      </c>
      <c r="O76" s="22">
        <v>43878</v>
      </c>
      <c r="P76" s="21" t="s">
        <v>38</v>
      </c>
      <c r="Q76" s="21" t="s">
        <v>26</v>
      </c>
      <c r="R76" s="21" t="s">
        <v>34</v>
      </c>
      <c r="S76" s="24" t="s">
        <v>86</v>
      </c>
      <c r="T76" s="25" t="s">
        <v>49</v>
      </c>
      <c r="U76" s="21">
        <f t="shared" si="3"/>
        <v>22.87968441814596</v>
      </c>
      <c r="V76" s="40" t="s">
        <v>108</v>
      </c>
    </row>
    <row r="77" spans="1:22" x14ac:dyDescent="0.25">
      <c r="A77" s="38">
        <f t="shared" si="2"/>
        <v>76</v>
      </c>
      <c r="B77" s="27" t="s">
        <v>20</v>
      </c>
      <c r="C77" s="27" t="s">
        <v>21</v>
      </c>
      <c r="D77" s="28">
        <v>33138</v>
      </c>
      <c r="E77" s="27">
        <v>195</v>
      </c>
      <c r="F77" s="27">
        <v>87</v>
      </c>
      <c r="G77" s="27" t="s">
        <v>22</v>
      </c>
      <c r="H77" s="27" t="s">
        <v>35</v>
      </c>
      <c r="I77" s="27">
        <v>26</v>
      </c>
      <c r="J77" s="27" t="s">
        <v>124</v>
      </c>
      <c r="K77" s="27" t="s">
        <v>29</v>
      </c>
      <c r="L77" s="27" t="s">
        <v>87</v>
      </c>
      <c r="M77" s="30" t="s">
        <v>94</v>
      </c>
      <c r="N77" s="28">
        <v>43521</v>
      </c>
      <c r="O77" s="28">
        <v>43527</v>
      </c>
      <c r="P77" s="27" t="s">
        <v>42</v>
      </c>
      <c r="Q77" s="27" t="s">
        <v>26</v>
      </c>
      <c r="R77" s="27" t="s">
        <v>52</v>
      </c>
      <c r="S77" s="30" t="s">
        <v>53</v>
      </c>
      <c r="T77" s="31" t="s">
        <v>45</v>
      </c>
      <c r="U77" s="27">
        <f t="shared" si="3"/>
        <v>22.87968441814596</v>
      </c>
      <c r="V77" s="41" t="s">
        <v>108</v>
      </c>
    </row>
    <row r="78" spans="1:22" x14ac:dyDescent="0.25">
      <c r="A78" s="37">
        <f t="shared" si="2"/>
        <v>77</v>
      </c>
      <c r="B78" s="21" t="s">
        <v>20</v>
      </c>
      <c r="C78" s="21" t="s">
        <v>21</v>
      </c>
      <c r="D78" s="22">
        <v>33138</v>
      </c>
      <c r="E78" s="21">
        <v>156</v>
      </c>
      <c r="F78" s="21">
        <v>87</v>
      </c>
      <c r="G78" s="21" t="s">
        <v>22</v>
      </c>
      <c r="H78" s="21" t="s">
        <v>35</v>
      </c>
      <c r="I78" s="21">
        <v>0</v>
      </c>
      <c r="J78" s="27" t="s">
        <v>124</v>
      </c>
      <c r="K78" s="27" t="s">
        <v>29</v>
      </c>
      <c r="L78" s="21" t="s">
        <v>62</v>
      </c>
      <c r="M78" s="24" t="s">
        <v>94</v>
      </c>
      <c r="N78" s="22">
        <v>43878</v>
      </c>
      <c r="O78" s="22">
        <v>43893</v>
      </c>
      <c r="P78" s="21" t="s">
        <v>25</v>
      </c>
      <c r="Q78" s="21" t="s">
        <v>26</v>
      </c>
      <c r="R78" s="21" t="s">
        <v>34</v>
      </c>
      <c r="S78" s="24" t="s">
        <v>28</v>
      </c>
      <c r="T78" s="25" t="s">
        <v>49</v>
      </c>
      <c r="U78" s="21">
        <f t="shared" si="3"/>
        <v>35.749506903353051</v>
      </c>
      <c r="V78" s="40" t="s">
        <v>114</v>
      </c>
    </row>
    <row r="79" spans="1:22" x14ac:dyDescent="0.25">
      <c r="A79" s="38">
        <f t="shared" si="2"/>
        <v>78</v>
      </c>
      <c r="B79" s="27" t="s">
        <v>20</v>
      </c>
      <c r="C79" s="27" t="s">
        <v>21</v>
      </c>
      <c r="D79" s="28">
        <v>33138</v>
      </c>
      <c r="E79" s="27">
        <v>156</v>
      </c>
      <c r="F79" s="27">
        <v>80</v>
      </c>
      <c r="G79" s="27" t="s">
        <v>35</v>
      </c>
      <c r="H79" s="27" t="s">
        <v>35</v>
      </c>
      <c r="I79" s="27">
        <v>0</v>
      </c>
      <c r="J79" s="27" t="s">
        <v>124</v>
      </c>
      <c r="K79" s="27" t="s">
        <v>29</v>
      </c>
      <c r="L79" s="27" t="s">
        <v>62</v>
      </c>
      <c r="M79" s="30" t="s">
        <v>85</v>
      </c>
      <c r="N79" s="28">
        <v>43772</v>
      </c>
      <c r="O79" s="28">
        <v>43837</v>
      </c>
      <c r="P79" s="27" t="s">
        <v>25</v>
      </c>
      <c r="Q79" s="27" t="s">
        <v>26</v>
      </c>
      <c r="R79" s="27" t="s">
        <v>34</v>
      </c>
      <c r="S79" s="30" t="s">
        <v>28</v>
      </c>
      <c r="T79" s="31" t="s">
        <v>29</v>
      </c>
      <c r="U79" s="27">
        <f t="shared" si="3"/>
        <v>32.873109796186718</v>
      </c>
      <c r="V79" s="41" t="s">
        <v>113</v>
      </c>
    </row>
    <row r="80" spans="1:22" x14ac:dyDescent="0.25">
      <c r="A80" s="37">
        <f t="shared" si="2"/>
        <v>79</v>
      </c>
      <c r="B80" s="21" t="s">
        <v>39</v>
      </c>
      <c r="C80" s="21" t="s">
        <v>21</v>
      </c>
      <c r="D80" s="22">
        <v>33138</v>
      </c>
      <c r="E80" s="21">
        <v>156</v>
      </c>
      <c r="F80" s="21">
        <v>80</v>
      </c>
      <c r="G80" s="21" t="s">
        <v>22</v>
      </c>
      <c r="H80" s="21" t="s">
        <v>35</v>
      </c>
      <c r="I80" s="21">
        <v>30</v>
      </c>
      <c r="J80" s="27" t="s">
        <v>124</v>
      </c>
      <c r="K80" s="27" t="s">
        <v>29</v>
      </c>
      <c r="L80" s="21" t="s">
        <v>77</v>
      </c>
      <c r="M80" s="24" t="s">
        <v>63</v>
      </c>
      <c r="N80" s="22">
        <v>43860</v>
      </c>
      <c r="O80" s="22">
        <v>43895</v>
      </c>
      <c r="P80" s="21" t="s">
        <v>25</v>
      </c>
      <c r="Q80" s="21" t="s">
        <v>26</v>
      </c>
      <c r="R80" s="21" t="s">
        <v>34</v>
      </c>
      <c r="S80" s="24" t="s">
        <v>28</v>
      </c>
      <c r="T80" s="25" t="s">
        <v>29</v>
      </c>
      <c r="U80" s="21">
        <f t="shared" si="3"/>
        <v>32.873109796186718</v>
      </c>
      <c r="V80" s="40" t="s">
        <v>113</v>
      </c>
    </row>
    <row r="81" spans="1:22" x14ac:dyDescent="0.25">
      <c r="A81" s="38">
        <f t="shared" si="2"/>
        <v>80</v>
      </c>
      <c r="B81" s="27" t="s">
        <v>20</v>
      </c>
      <c r="C81" s="27" t="s">
        <v>30</v>
      </c>
      <c r="D81" s="28">
        <v>33138</v>
      </c>
      <c r="E81" s="27">
        <v>156</v>
      </c>
      <c r="F81" s="27">
        <v>80</v>
      </c>
      <c r="G81" s="27" t="s">
        <v>31</v>
      </c>
      <c r="H81" s="27" t="s">
        <v>22</v>
      </c>
      <c r="I81" s="27">
        <v>30</v>
      </c>
      <c r="J81" s="27" t="s">
        <v>124</v>
      </c>
      <c r="K81" s="27" t="s">
        <v>29</v>
      </c>
      <c r="L81" s="27" t="s">
        <v>32</v>
      </c>
      <c r="M81" s="30" t="s">
        <v>37</v>
      </c>
      <c r="N81" s="28">
        <v>43831</v>
      </c>
      <c r="O81" s="28">
        <v>43855</v>
      </c>
      <c r="P81" s="27" t="s">
        <v>38</v>
      </c>
      <c r="Q81" s="27" t="s">
        <v>26</v>
      </c>
      <c r="R81" s="27" t="s">
        <v>44</v>
      </c>
      <c r="S81" s="30" t="s">
        <v>86</v>
      </c>
      <c r="T81" s="31" t="s">
        <v>45</v>
      </c>
      <c r="U81" s="27">
        <f t="shared" si="3"/>
        <v>32.873109796186718</v>
      </c>
      <c r="V81" s="41" t="s">
        <v>113</v>
      </c>
    </row>
    <row r="82" spans="1:22" x14ac:dyDescent="0.25">
      <c r="A82" s="37">
        <f t="shared" si="2"/>
        <v>81</v>
      </c>
      <c r="B82" s="21" t="s">
        <v>20</v>
      </c>
      <c r="C82" s="21" t="s">
        <v>30</v>
      </c>
      <c r="D82" s="22">
        <v>38617</v>
      </c>
      <c r="E82" s="21">
        <v>156</v>
      </c>
      <c r="F82" s="21">
        <v>56</v>
      </c>
      <c r="G82" s="21" t="s">
        <v>31</v>
      </c>
      <c r="H82" s="21" t="s">
        <v>22</v>
      </c>
      <c r="I82" s="21">
        <v>33</v>
      </c>
      <c r="J82" s="27" t="s">
        <v>124</v>
      </c>
      <c r="K82" s="27" t="s">
        <v>29</v>
      </c>
      <c r="L82" s="21" t="s">
        <v>32</v>
      </c>
      <c r="M82" s="24" t="s">
        <v>37</v>
      </c>
      <c r="N82" s="22">
        <v>43878</v>
      </c>
      <c r="O82" s="22">
        <v>43891</v>
      </c>
      <c r="P82" s="21" t="s">
        <v>25</v>
      </c>
      <c r="Q82" s="21" t="s">
        <v>26</v>
      </c>
      <c r="R82" s="21" t="s">
        <v>44</v>
      </c>
      <c r="S82" s="24" t="s">
        <v>86</v>
      </c>
      <c r="T82" s="25" t="s">
        <v>45</v>
      </c>
      <c r="U82" s="21">
        <f t="shared" si="3"/>
        <v>23.011176857330703</v>
      </c>
      <c r="V82" s="40" t="s">
        <v>108</v>
      </c>
    </row>
    <row r="83" spans="1:22" x14ac:dyDescent="0.25">
      <c r="A83" s="38">
        <f t="shared" si="2"/>
        <v>82</v>
      </c>
      <c r="B83" s="27" t="s">
        <v>20</v>
      </c>
      <c r="C83" s="27" t="s">
        <v>30</v>
      </c>
      <c r="D83" s="28">
        <v>38617</v>
      </c>
      <c r="E83" s="27">
        <v>176</v>
      </c>
      <c r="F83" s="27">
        <v>40</v>
      </c>
      <c r="G83" s="27" t="s">
        <v>31</v>
      </c>
      <c r="H83" s="27" t="s">
        <v>22</v>
      </c>
      <c r="I83" s="27">
        <v>33</v>
      </c>
      <c r="J83" s="27" t="s">
        <v>124</v>
      </c>
      <c r="K83" s="27" t="s">
        <v>29</v>
      </c>
      <c r="L83" s="27" t="s">
        <v>32</v>
      </c>
      <c r="M83" s="30" t="s">
        <v>37</v>
      </c>
      <c r="N83" s="28">
        <v>43604</v>
      </c>
      <c r="O83" s="28">
        <v>43610</v>
      </c>
      <c r="P83" s="27" t="s">
        <v>42</v>
      </c>
      <c r="Q83" s="27" t="s">
        <v>26</v>
      </c>
      <c r="R83" s="27" t="s">
        <v>44</v>
      </c>
      <c r="S83" s="30" t="s">
        <v>82</v>
      </c>
      <c r="T83" s="31" t="s">
        <v>45</v>
      </c>
      <c r="U83" s="27">
        <f t="shared" si="3"/>
        <v>12.913223140495868</v>
      </c>
      <c r="V83" s="41" t="s">
        <v>111</v>
      </c>
    </row>
    <row r="84" spans="1:22" x14ac:dyDescent="0.25">
      <c r="A84" s="37">
        <f t="shared" si="2"/>
        <v>83</v>
      </c>
      <c r="B84" s="21" t="s">
        <v>20</v>
      </c>
      <c r="C84" s="21" t="s">
        <v>30</v>
      </c>
      <c r="D84" s="22">
        <v>38617</v>
      </c>
      <c r="E84" s="21">
        <v>195</v>
      </c>
      <c r="F84" s="21">
        <v>51</v>
      </c>
      <c r="G84" s="21" t="s">
        <v>31</v>
      </c>
      <c r="H84" s="21" t="s">
        <v>22</v>
      </c>
      <c r="I84" s="21">
        <v>3</v>
      </c>
      <c r="J84" s="27" t="s">
        <v>124</v>
      </c>
      <c r="K84" s="27" t="s">
        <v>29</v>
      </c>
      <c r="L84" s="21" t="s">
        <v>81</v>
      </c>
      <c r="M84" s="24" t="s">
        <v>37</v>
      </c>
      <c r="N84" s="22">
        <v>43772</v>
      </c>
      <c r="O84" s="22">
        <v>43837</v>
      </c>
      <c r="P84" s="21" t="s">
        <v>42</v>
      </c>
      <c r="Q84" s="21" t="s">
        <v>26</v>
      </c>
      <c r="R84" s="21" t="s">
        <v>44</v>
      </c>
      <c r="S84" s="24" t="s">
        <v>82</v>
      </c>
      <c r="T84" s="25" t="s">
        <v>45</v>
      </c>
      <c r="U84" s="21">
        <f t="shared" si="3"/>
        <v>13.412228796844182</v>
      </c>
      <c r="V84" s="40" t="s">
        <v>111</v>
      </c>
    </row>
    <row r="85" spans="1:22" x14ac:dyDescent="0.25">
      <c r="A85" s="38">
        <f t="shared" si="2"/>
        <v>84</v>
      </c>
      <c r="B85" s="27" t="s">
        <v>39</v>
      </c>
      <c r="C85" s="27" t="s">
        <v>21</v>
      </c>
      <c r="D85" s="28">
        <v>38617</v>
      </c>
      <c r="E85" s="27">
        <v>195</v>
      </c>
      <c r="F85" s="27">
        <v>51</v>
      </c>
      <c r="G85" s="27" t="s">
        <v>22</v>
      </c>
      <c r="H85" s="27" t="s">
        <v>35</v>
      </c>
      <c r="I85" s="27">
        <v>23</v>
      </c>
      <c r="J85" s="27" t="s">
        <v>124</v>
      </c>
      <c r="K85" s="27" t="s">
        <v>29</v>
      </c>
      <c r="L85" s="27" t="s">
        <v>81</v>
      </c>
      <c r="M85" s="30" t="s">
        <v>37</v>
      </c>
      <c r="N85" s="28">
        <v>43683</v>
      </c>
      <c r="O85" s="28">
        <v>43710</v>
      </c>
      <c r="P85" s="27" t="s">
        <v>38</v>
      </c>
      <c r="Q85" s="27" t="s">
        <v>26</v>
      </c>
      <c r="R85" s="27" t="s">
        <v>44</v>
      </c>
      <c r="S85" s="30" t="s">
        <v>82</v>
      </c>
      <c r="T85" s="31" t="s">
        <v>49</v>
      </c>
      <c r="U85" s="27">
        <f t="shared" si="3"/>
        <v>13.412228796844182</v>
      </c>
      <c r="V85" s="41" t="s">
        <v>111</v>
      </c>
    </row>
    <row r="86" spans="1:22" x14ac:dyDescent="0.25">
      <c r="A86" s="37">
        <f t="shared" si="2"/>
        <v>85</v>
      </c>
      <c r="B86" s="21" t="s">
        <v>20</v>
      </c>
      <c r="C86" s="21" t="s">
        <v>30</v>
      </c>
      <c r="D86" s="22">
        <v>38617</v>
      </c>
      <c r="E86" s="21">
        <v>185</v>
      </c>
      <c r="F86" s="21">
        <v>71</v>
      </c>
      <c r="G86" s="21" t="s">
        <v>31</v>
      </c>
      <c r="H86" s="21" t="s">
        <v>35</v>
      </c>
      <c r="I86" s="21">
        <v>2</v>
      </c>
      <c r="J86" s="27" t="s">
        <v>124</v>
      </c>
      <c r="K86" s="27" t="s">
        <v>29</v>
      </c>
      <c r="L86" s="21" t="s">
        <v>59</v>
      </c>
      <c r="M86" s="24" t="s">
        <v>54</v>
      </c>
      <c r="N86" s="22">
        <v>43863</v>
      </c>
      <c r="O86" s="22">
        <v>43878</v>
      </c>
      <c r="P86" s="21" t="s">
        <v>38</v>
      </c>
      <c r="Q86" s="21" t="s">
        <v>26</v>
      </c>
      <c r="R86" s="21" t="s">
        <v>27</v>
      </c>
      <c r="S86" s="24" t="s">
        <v>28</v>
      </c>
      <c r="T86" s="25" t="s">
        <v>45</v>
      </c>
      <c r="U86" s="21">
        <f t="shared" si="3"/>
        <v>20.74506939371804</v>
      </c>
      <c r="V86" s="40" t="s">
        <v>108</v>
      </c>
    </row>
    <row r="87" spans="1:22" x14ac:dyDescent="0.25">
      <c r="A87" s="38">
        <f t="shared" si="2"/>
        <v>86</v>
      </c>
      <c r="B87" s="27" t="s">
        <v>39</v>
      </c>
      <c r="C87" s="27" t="s">
        <v>30</v>
      </c>
      <c r="D87" s="28">
        <v>36791</v>
      </c>
      <c r="E87" s="27">
        <v>155</v>
      </c>
      <c r="F87" s="27">
        <v>71</v>
      </c>
      <c r="G87" s="27" t="s">
        <v>31</v>
      </c>
      <c r="H87" s="27" t="s">
        <v>35</v>
      </c>
      <c r="I87" s="27">
        <v>26</v>
      </c>
      <c r="J87" s="27" t="s">
        <v>29</v>
      </c>
      <c r="K87" s="27" t="s">
        <v>29</v>
      </c>
      <c r="L87" s="27" t="s">
        <v>59</v>
      </c>
      <c r="M87" s="30" t="s">
        <v>54</v>
      </c>
      <c r="N87" s="28">
        <v>43860</v>
      </c>
      <c r="O87" s="28">
        <v>43895</v>
      </c>
      <c r="P87" s="27" t="s">
        <v>38</v>
      </c>
      <c r="Q87" s="27" t="s">
        <v>26</v>
      </c>
      <c r="R87" s="27" t="s">
        <v>27</v>
      </c>
      <c r="S87" s="30" t="s">
        <v>28</v>
      </c>
      <c r="T87" s="31" t="s">
        <v>45</v>
      </c>
      <c r="U87" s="27">
        <f t="shared" si="3"/>
        <v>29.552549427679498</v>
      </c>
      <c r="V87" s="41" t="s">
        <v>109</v>
      </c>
    </row>
    <row r="88" spans="1:22" x14ac:dyDescent="0.25">
      <c r="A88" s="37">
        <f t="shared" si="2"/>
        <v>87</v>
      </c>
      <c r="B88" s="21" t="s">
        <v>20</v>
      </c>
      <c r="C88" s="21" t="s">
        <v>21</v>
      </c>
      <c r="D88" s="22">
        <v>34964</v>
      </c>
      <c r="E88" s="21">
        <v>155</v>
      </c>
      <c r="F88" s="21">
        <v>71</v>
      </c>
      <c r="G88" s="21" t="s">
        <v>22</v>
      </c>
      <c r="H88" s="21" t="s">
        <v>35</v>
      </c>
      <c r="I88" s="21">
        <v>6</v>
      </c>
      <c r="J88" s="27" t="s">
        <v>124</v>
      </c>
      <c r="K88" s="27" t="s">
        <v>29</v>
      </c>
      <c r="L88" s="21" t="s">
        <v>97</v>
      </c>
      <c r="M88" s="24" t="s">
        <v>102</v>
      </c>
      <c r="N88" s="22">
        <v>43878</v>
      </c>
      <c r="O88" s="22">
        <v>43893</v>
      </c>
      <c r="P88" s="21" t="s">
        <v>38</v>
      </c>
      <c r="Q88" s="21" t="s">
        <v>26</v>
      </c>
      <c r="R88" s="21" t="s">
        <v>44</v>
      </c>
      <c r="S88" s="24" t="s">
        <v>28</v>
      </c>
      <c r="T88" s="25" t="s">
        <v>49</v>
      </c>
      <c r="U88" s="21">
        <f t="shared" si="3"/>
        <v>29.552549427679498</v>
      </c>
      <c r="V88" s="40" t="s">
        <v>109</v>
      </c>
    </row>
    <row r="89" spans="1:22" x14ac:dyDescent="0.25">
      <c r="A89" s="38">
        <f t="shared" si="2"/>
        <v>88</v>
      </c>
      <c r="B89" s="27" t="s">
        <v>20</v>
      </c>
      <c r="C89" s="27" t="s">
        <v>21</v>
      </c>
      <c r="D89" s="28">
        <v>18893</v>
      </c>
      <c r="E89" s="27">
        <v>165</v>
      </c>
      <c r="F89" s="27">
        <v>71</v>
      </c>
      <c r="G89" s="27" t="s">
        <v>22</v>
      </c>
      <c r="H89" s="27" t="s">
        <v>35</v>
      </c>
      <c r="I89" s="27">
        <v>6</v>
      </c>
      <c r="J89" s="27" t="s">
        <v>124</v>
      </c>
      <c r="K89" s="27" t="s">
        <v>29</v>
      </c>
      <c r="L89" s="27" t="s">
        <v>36</v>
      </c>
      <c r="M89" s="30" t="s">
        <v>103</v>
      </c>
      <c r="N89" s="28">
        <v>43831</v>
      </c>
      <c r="O89" s="28">
        <v>43855</v>
      </c>
      <c r="P89" s="27" t="s">
        <v>42</v>
      </c>
      <c r="Q89" s="27" t="s">
        <v>26</v>
      </c>
      <c r="R89" s="27" t="s">
        <v>52</v>
      </c>
      <c r="S89" s="30" t="s">
        <v>53</v>
      </c>
      <c r="T89" s="31" t="s">
        <v>49</v>
      </c>
      <c r="U89" s="27">
        <f t="shared" si="3"/>
        <v>26.078971533516992</v>
      </c>
      <c r="V89" s="41" t="s">
        <v>109</v>
      </c>
    </row>
    <row r="90" spans="1:22" x14ac:dyDescent="0.25">
      <c r="A90" s="37">
        <f t="shared" si="2"/>
        <v>89</v>
      </c>
      <c r="B90" s="21" t="s">
        <v>20</v>
      </c>
      <c r="C90" s="21" t="s">
        <v>30</v>
      </c>
      <c r="D90" s="22">
        <v>29851</v>
      </c>
      <c r="E90" s="21">
        <v>165</v>
      </c>
      <c r="F90" s="21">
        <v>81</v>
      </c>
      <c r="G90" s="21" t="s">
        <v>31</v>
      </c>
      <c r="H90" s="21" t="s">
        <v>35</v>
      </c>
      <c r="I90" s="21">
        <v>16</v>
      </c>
      <c r="J90" s="27" t="s">
        <v>29</v>
      </c>
      <c r="K90" s="27" t="s">
        <v>29</v>
      </c>
      <c r="L90" s="21" t="s">
        <v>36</v>
      </c>
      <c r="M90" s="24" t="s">
        <v>58</v>
      </c>
      <c r="N90" s="22">
        <v>43878</v>
      </c>
      <c r="O90" s="22">
        <v>43891</v>
      </c>
      <c r="P90" s="21" t="s">
        <v>25</v>
      </c>
      <c r="Q90" s="21" t="s">
        <v>26</v>
      </c>
      <c r="R90" s="21" t="s">
        <v>27</v>
      </c>
      <c r="S90" s="24" t="s">
        <v>28</v>
      </c>
      <c r="T90" s="25" t="s">
        <v>45</v>
      </c>
      <c r="U90" s="21">
        <f t="shared" si="3"/>
        <v>29.752066115702483</v>
      </c>
      <c r="V90" s="40" t="s">
        <v>109</v>
      </c>
    </row>
    <row r="91" spans="1:22" x14ac:dyDescent="0.25">
      <c r="A91" s="38">
        <f t="shared" si="2"/>
        <v>90</v>
      </c>
      <c r="B91" s="27" t="s">
        <v>39</v>
      </c>
      <c r="C91" s="27" t="s">
        <v>30</v>
      </c>
      <c r="D91" s="28">
        <v>33534</v>
      </c>
      <c r="E91" s="27">
        <v>175</v>
      </c>
      <c r="F91" s="27">
        <v>91</v>
      </c>
      <c r="G91" s="27" t="s">
        <v>31</v>
      </c>
      <c r="H91" s="27" t="s">
        <v>35</v>
      </c>
      <c r="I91" s="27">
        <v>6</v>
      </c>
      <c r="J91" s="27" t="s">
        <v>29</v>
      </c>
      <c r="K91" s="27" t="s">
        <v>29</v>
      </c>
      <c r="L91" s="27" t="s">
        <v>36</v>
      </c>
      <c r="M91" s="30" t="s">
        <v>85</v>
      </c>
      <c r="N91" s="28">
        <v>43604</v>
      </c>
      <c r="O91" s="28">
        <v>43610</v>
      </c>
      <c r="P91" s="27" t="s">
        <v>38</v>
      </c>
      <c r="Q91" s="27" t="s">
        <v>26</v>
      </c>
      <c r="R91" s="27" t="s">
        <v>27</v>
      </c>
      <c r="S91" s="30" t="s">
        <v>28</v>
      </c>
      <c r="T91" s="31" t="s">
        <v>29</v>
      </c>
      <c r="U91" s="27">
        <f t="shared" si="3"/>
        <v>29.714285714285715</v>
      </c>
      <c r="V91" s="41" t="s">
        <v>109</v>
      </c>
    </row>
    <row r="92" spans="1:22" x14ac:dyDescent="0.25">
      <c r="A92" s="37">
        <f t="shared" si="2"/>
        <v>91</v>
      </c>
      <c r="B92" s="21" t="s">
        <v>39</v>
      </c>
      <c r="C92" s="21" t="s">
        <v>30</v>
      </c>
      <c r="D92" s="22">
        <v>33534</v>
      </c>
      <c r="E92" s="21">
        <v>160</v>
      </c>
      <c r="F92" s="21">
        <v>91</v>
      </c>
      <c r="G92" s="21" t="s">
        <v>31</v>
      </c>
      <c r="H92" s="21" t="s">
        <v>35</v>
      </c>
      <c r="I92" s="21">
        <v>0</v>
      </c>
      <c r="J92" s="27" t="s">
        <v>124</v>
      </c>
      <c r="K92" s="27" t="s">
        <v>29</v>
      </c>
      <c r="L92" s="21" t="s">
        <v>70</v>
      </c>
      <c r="M92" s="24" t="s">
        <v>88</v>
      </c>
      <c r="N92" s="22">
        <v>43772</v>
      </c>
      <c r="O92" s="22">
        <v>43837</v>
      </c>
      <c r="P92" s="21" t="s">
        <v>42</v>
      </c>
      <c r="Q92" s="21" t="s">
        <v>43</v>
      </c>
      <c r="R92" s="21" t="s">
        <v>52</v>
      </c>
      <c r="S92" s="24" t="s">
        <v>82</v>
      </c>
      <c r="T92" s="25" t="s">
        <v>29</v>
      </c>
      <c r="U92" s="21">
        <f t="shared" si="3"/>
        <v>35.546874999999993</v>
      </c>
      <c r="V92" s="40" t="s">
        <v>114</v>
      </c>
    </row>
    <row r="93" spans="1:22" x14ac:dyDescent="0.25">
      <c r="A93" s="38">
        <f t="shared" si="2"/>
        <v>92</v>
      </c>
      <c r="B93" s="27" t="s">
        <v>20</v>
      </c>
      <c r="C93" s="27" t="s">
        <v>30</v>
      </c>
      <c r="D93" s="28">
        <v>18072</v>
      </c>
      <c r="E93" s="27">
        <v>173</v>
      </c>
      <c r="F93" s="27">
        <v>72</v>
      </c>
      <c r="G93" s="27" t="s">
        <v>31</v>
      </c>
      <c r="H93" s="27" t="s">
        <v>35</v>
      </c>
      <c r="I93" s="27">
        <v>0</v>
      </c>
      <c r="J93" s="27" t="s">
        <v>124</v>
      </c>
      <c r="K93" s="27" t="s">
        <v>29</v>
      </c>
      <c r="L93" s="27" t="s">
        <v>70</v>
      </c>
      <c r="M93" s="30" t="s">
        <v>88</v>
      </c>
      <c r="N93" s="28">
        <v>43835</v>
      </c>
      <c r="O93" s="28">
        <v>43837</v>
      </c>
      <c r="P93" s="27" t="s">
        <v>42</v>
      </c>
      <c r="Q93" s="27" t="s">
        <v>43</v>
      </c>
      <c r="R93" s="27" t="s">
        <v>44</v>
      </c>
      <c r="S93" s="30" t="s">
        <v>82</v>
      </c>
      <c r="T93" s="31" t="s">
        <v>49</v>
      </c>
      <c r="U93" s="27">
        <f t="shared" si="3"/>
        <v>24.056934745564501</v>
      </c>
      <c r="V93" s="41" t="s">
        <v>108</v>
      </c>
    </row>
    <row r="94" spans="1:22" x14ac:dyDescent="0.25">
      <c r="A94" s="37">
        <f t="shared" si="2"/>
        <v>93</v>
      </c>
      <c r="B94" s="21" t="s">
        <v>39</v>
      </c>
      <c r="C94" s="21" t="s">
        <v>21</v>
      </c>
      <c r="D94" s="22">
        <v>34612</v>
      </c>
      <c r="E94" s="21">
        <v>187</v>
      </c>
      <c r="F94" s="21">
        <v>59</v>
      </c>
      <c r="G94" s="21" t="s">
        <v>22</v>
      </c>
      <c r="H94" s="21" t="s">
        <v>22</v>
      </c>
      <c r="I94" s="21">
        <v>18</v>
      </c>
      <c r="J94" s="27" t="s">
        <v>124</v>
      </c>
      <c r="K94" s="27" t="s">
        <v>29</v>
      </c>
      <c r="L94" s="21" t="s">
        <v>92</v>
      </c>
      <c r="M94" s="24" t="s">
        <v>104</v>
      </c>
      <c r="N94" s="22">
        <v>43860</v>
      </c>
      <c r="O94" s="22">
        <v>43895</v>
      </c>
      <c r="P94" s="21" t="s">
        <v>38</v>
      </c>
      <c r="Q94" s="21" t="s">
        <v>26</v>
      </c>
      <c r="R94" s="21" t="s">
        <v>27</v>
      </c>
      <c r="S94" s="24" t="s">
        <v>99</v>
      </c>
      <c r="T94" s="25" t="s">
        <v>45</v>
      </c>
      <c r="U94" s="21">
        <f t="shared" si="3"/>
        <v>16.872086705367607</v>
      </c>
      <c r="V94" s="40" t="s">
        <v>112</v>
      </c>
    </row>
    <row r="95" spans="1:22" x14ac:dyDescent="0.25">
      <c r="A95" s="38">
        <f t="shared" si="2"/>
        <v>94</v>
      </c>
      <c r="B95" s="27" t="s">
        <v>20</v>
      </c>
      <c r="C95" s="27" t="s">
        <v>21</v>
      </c>
      <c r="D95" s="28">
        <v>30962</v>
      </c>
      <c r="E95" s="27">
        <v>180</v>
      </c>
      <c r="F95" s="27">
        <v>91</v>
      </c>
      <c r="G95" s="27" t="s">
        <v>22</v>
      </c>
      <c r="H95" s="27" t="s">
        <v>22</v>
      </c>
      <c r="I95" s="27">
        <v>8</v>
      </c>
      <c r="J95" s="27" t="s">
        <v>124</v>
      </c>
      <c r="K95" s="27" t="s">
        <v>29</v>
      </c>
      <c r="L95" s="27" t="s">
        <v>92</v>
      </c>
      <c r="M95" s="30" t="s">
        <v>104</v>
      </c>
      <c r="N95" s="28">
        <v>43863</v>
      </c>
      <c r="O95" s="28">
        <v>43878</v>
      </c>
      <c r="P95" s="27" t="s">
        <v>42</v>
      </c>
      <c r="Q95" s="27" t="s">
        <v>43</v>
      </c>
      <c r="R95" s="27" t="s">
        <v>44</v>
      </c>
      <c r="S95" s="30" t="s">
        <v>82</v>
      </c>
      <c r="T95" s="31" t="s">
        <v>45</v>
      </c>
      <c r="U95" s="27">
        <f t="shared" si="3"/>
        <v>28.086419753086417</v>
      </c>
      <c r="V95" s="41" t="s">
        <v>109</v>
      </c>
    </row>
    <row r="96" spans="1:22" x14ac:dyDescent="0.25">
      <c r="A96" s="37">
        <f t="shared" si="2"/>
        <v>95</v>
      </c>
      <c r="B96" s="21" t="s">
        <v>20</v>
      </c>
      <c r="C96" s="21" t="s">
        <v>21</v>
      </c>
      <c r="D96" s="22">
        <v>36440</v>
      </c>
      <c r="E96" s="21">
        <v>180</v>
      </c>
      <c r="F96" s="21">
        <v>54</v>
      </c>
      <c r="G96" s="21" t="s">
        <v>22</v>
      </c>
      <c r="H96" s="21" t="s">
        <v>22</v>
      </c>
      <c r="I96" s="21">
        <v>0</v>
      </c>
      <c r="J96" s="27" t="s">
        <v>124</v>
      </c>
      <c r="K96" s="27" t="s">
        <v>29</v>
      </c>
      <c r="L96" s="21" t="s">
        <v>64</v>
      </c>
      <c r="M96" s="24" t="s">
        <v>75</v>
      </c>
      <c r="N96" s="22">
        <v>43683</v>
      </c>
      <c r="O96" s="22">
        <v>43710</v>
      </c>
      <c r="P96" s="21" t="s">
        <v>38</v>
      </c>
      <c r="Q96" s="21" t="s">
        <v>26</v>
      </c>
      <c r="R96" s="21" t="s">
        <v>27</v>
      </c>
      <c r="S96" s="24" t="s">
        <v>28</v>
      </c>
      <c r="T96" s="25" t="s">
        <v>29</v>
      </c>
      <c r="U96" s="21">
        <f t="shared" si="3"/>
        <v>16.666666666666664</v>
      </c>
      <c r="V96" s="40" t="s">
        <v>112</v>
      </c>
    </row>
    <row r="97" spans="1:22" x14ac:dyDescent="0.25">
      <c r="A97" s="38">
        <f t="shared" si="2"/>
        <v>96</v>
      </c>
      <c r="B97" s="27" t="s">
        <v>20</v>
      </c>
      <c r="C97" s="27" t="s">
        <v>21</v>
      </c>
      <c r="D97" s="28">
        <v>20735</v>
      </c>
      <c r="E97" s="27">
        <v>180</v>
      </c>
      <c r="F97" s="27">
        <v>84</v>
      </c>
      <c r="G97" s="27" t="s">
        <v>22</v>
      </c>
      <c r="H97" s="27" t="s">
        <v>22</v>
      </c>
      <c r="I97" s="27">
        <v>30</v>
      </c>
      <c r="J97" s="27" t="s">
        <v>124</v>
      </c>
      <c r="K97" s="27" t="s">
        <v>29</v>
      </c>
      <c r="L97" s="27" t="s">
        <v>76</v>
      </c>
      <c r="M97" s="30" t="s">
        <v>75</v>
      </c>
      <c r="N97" s="28">
        <v>43878</v>
      </c>
      <c r="O97" s="28">
        <v>43893</v>
      </c>
      <c r="P97" s="27" t="s">
        <v>25</v>
      </c>
      <c r="Q97" s="27" t="s">
        <v>26</v>
      </c>
      <c r="R97" s="27" t="s">
        <v>27</v>
      </c>
      <c r="S97" s="30" t="s">
        <v>28</v>
      </c>
      <c r="T97" s="31" t="s">
        <v>29</v>
      </c>
      <c r="U97" s="27">
        <f t="shared" si="3"/>
        <v>25.925925925925924</v>
      </c>
      <c r="V97" s="41" t="s">
        <v>109</v>
      </c>
    </row>
    <row r="98" spans="1:22" x14ac:dyDescent="0.25">
      <c r="A98" s="37">
        <f t="shared" si="2"/>
        <v>97</v>
      </c>
      <c r="B98" s="21" t="s">
        <v>20</v>
      </c>
      <c r="C98" s="21" t="s">
        <v>21</v>
      </c>
      <c r="D98" s="22">
        <v>20735</v>
      </c>
      <c r="E98" s="21">
        <v>180</v>
      </c>
      <c r="F98" s="21">
        <v>84</v>
      </c>
      <c r="G98" s="21" t="s">
        <v>22</v>
      </c>
      <c r="H98" s="21" t="s">
        <v>22</v>
      </c>
      <c r="I98" s="21">
        <v>0</v>
      </c>
      <c r="J98" s="27" t="s">
        <v>124</v>
      </c>
      <c r="K98" s="27" t="s">
        <v>29</v>
      </c>
      <c r="L98" s="21" t="s">
        <v>87</v>
      </c>
      <c r="M98" s="24" t="s">
        <v>88</v>
      </c>
      <c r="N98" s="22">
        <v>43860</v>
      </c>
      <c r="O98" s="22">
        <v>43895</v>
      </c>
      <c r="P98" s="21" t="s">
        <v>42</v>
      </c>
      <c r="Q98" s="21" t="s">
        <v>43</v>
      </c>
      <c r="R98" s="21" t="s">
        <v>52</v>
      </c>
      <c r="S98" s="24" t="s">
        <v>53</v>
      </c>
      <c r="T98" s="25" t="s">
        <v>45</v>
      </c>
      <c r="U98" s="21">
        <f t="shared" si="3"/>
        <v>25.925925925925924</v>
      </c>
      <c r="V98" s="40" t="s">
        <v>109</v>
      </c>
    </row>
    <row r="99" spans="1:22" x14ac:dyDescent="0.25">
      <c r="A99" s="38">
        <f>1+SUM(A98)</f>
        <v>98</v>
      </c>
      <c r="B99" s="27" t="s">
        <v>39</v>
      </c>
      <c r="C99" s="27" t="s">
        <v>21</v>
      </c>
      <c r="D99" s="28">
        <v>36075</v>
      </c>
      <c r="E99" s="27">
        <v>165</v>
      </c>
      <c r="F99" s="27">
        <v>96</v>
      </c>
      <c r="G99" s="27" t="s">
        <v>22</v>
      </c>
      <c r="H99" s="27" t="s">
        <v>22</v>
      </c>
      <c r="I99" s="27">
        <v>30</v>
      </c>
      <c r="J99" s="27" t="s">
        <v>124</v>
      </c>
      <c r="K99" s="27" t="s">
        <v>29</v>
      </c>
      <c r="L99" s="27" t="s">
        <v>73</v>
      </c>
      <c r="M99" s="30" t="s">
        <v>105</v>
      </c>
      <c r="N99" s="28">
        <v>43831</v>
      </c>
      <c r="O99" s="28">
        <v>43855</v>
      </c>
      <c r="P99" s="27" t="s">
        <v>25</v>
      </c>
      <c r="Q99" s="27" t="s">
        <v>26</v>
      </c>
      <c r="R99" s="27" t="s">
        <v>27</v>
      </c>
      <c r="S99" s="30" t="s">
        <v>28</v>
      </c>
      <c r="T99" s="31" t="s">
        <v>29</v>
      </c>
      <c r="U99" s="27">
        <f t="shared" si="3"/>
        <v>35.261707988980717</v>
      </c>
      <c r="V99" s="41" t="s">
        <v>114</v>
      </c>
    </row>
    <row r="100" spans="1:22" x14ac:dyDescent="0.25">
      <c r="A100" s="37">
        <f>1+SUM(A99)</f>
        <v>99</v>
      </c>
      <c r="B100" s="21" t="s">
        <v>39</v>
      </c>
      <c r="C100" s="21" t="s">
        <v>30</v>
      </c>
      <c r="D100" s="22">
        <v>36075</v>
      </c>
      <c r="E100" s="21">
        <v>165</v>
      </c>
      <c r="F100" s="21">
        <v>61</v>
      </c>
      <c r="G100" s="21" t="s">
        <v>31</v>
      </c>
      <c r="H100" s="21" t="s">
        <v>22</v>
      </c>
      <c r="I100" s="21">
        <v>34</v>
      </c>
      <c r="J100" s="27" t="s">
        <v>29</v>
      </c>
      <c r="K100" s="27" t="s">
        <v>29</v>
      </c>
      <c r="L100" s="21" t="s">
        <v>91</v>
      </c>
      <c r="M100" s="24" t="s">
        <v>102</v>
      </c>
      <c r="N100" s="22">
        <v>43604</v>
      </c>
      <c r="O100" s="22">
        <v>43610</v>
      </c>
      <c r="P100" s="21" t="s">
        <v>42</v>
      </c>
      <c r="Q100" s="21" t="s">
        <v>43</v>
      </c>
      <c r="R100" s="21" t="s">
        <v>52</v>
      </c>
      <c r="S100" s="24" t="s">
        <v>48</v>
      </c>
      <c r="T100" s="25" t="s">
        <v>29</v>
      </c>
      <c r="U100" s="21">
        <f t="shared" si="3"/>
        <v>22.4058769513315</v>
      </c>
      <c r="V100" s="40" t="s">
        <v>108</v>
      </c>
    </row>
    <row r="101" spans="1:22" x14ac:dyDescent="0.25">
      <c r="A101" s="39">
        <f>1+SUM(A100)</f>
        <v>100</v>
      </c>
      <c r="B101" s="32" t="s">
        <v>39</v>
      </c>
      <c r="C101" s="32" t="s">
        <v>30</v>
      </c>
      <c r="D101" s="33">
        <v>34249</v>
      </c>
      <c r="E101" s="32">
        <v>117</v>
      </c>
      <c r="F101" s="32">
        <v>116</v>
      </c>
      <c r="G101" s="32" t="s">
        <v>31</v>
      </c>
      <c r="H101" s="32" t="s">
        <v>35</v>
      </c>
      <c r="I101" s="32">
        <v>50</v>
      </c>
      <c r="J101" s="27" t="s">
        <v>124</v>
      </c>
      <c r="K101" s="27" t="s">
        <v>29</v>
      </c>
      <c r="L101" s="32" t="s">
        <v>81</v>
      </c>
      <c r="M101" s="34" t="s">
        <v>47</v>
      </c>
      <c r="N101" s="33">
        <v>43772</v>
      </c>
      <c r="O101" s="33">
        <v>43837</v>
      </c>
      <c r="P101" s="32" t="s">
        <v>38</v>
      </c>
      <c r="Q101" s="32" t="s">
        <v>26</v>
      </c>
      <c r="R101" s="32" t="s">
        <v>27</v>
      </c>
      <c r="S101" s="35" t="s">
        <v>48</v>
      </c>
      <c r="T101" s="36" t="s">
        <v>45</v>
      </c>
      <c r="U101" s="32">
        <f t="shared" si="3"/>
        <v>84.739571919059117</v>
      </c>
      <c r="V101" s="41" t="s">
        <v>110</v>
      </c>
    </row>
    <row r="102" spans="1:22" x14ac:dyDescent="0.25">
      <c r="A102" s="42">
        <v>97</v>
      </c>
      <c r="B102" s="43" t="s">
        <v>20</v>
      </c>
      <c r="C102" s="43" t="s">
        <v>21</v>
      </c>
      <c r="D102" s="44">
        <v>20646</v>
      </c>
      <c r="E102" s="43">
        <v>84</v>
      </c>
      <c r="F102" s="43">
        <v>180</v>
      </c>
      <c r="G102" s="43" t="s">
        <v>22</v>
      </c>
      <c r="H102" s="43" t="s">
        <v>22</v>
      </c>
      <c r="I102" s="43">
        <v>30</v>
      </c>
      <c r="J102" s="43" t="s">
        <v>124</v>
      </c>
      <c r="K102" s="43" t="s">
        <v>29</v>
      </c>
      <c r="L102" s="43" t="s">
        <v>76</v>
      </c>
      <c r="M102" s="45" t="s">
        <v>75</v>
      </c>
      <c r="N102" s="44">
        <v>43863</v>
      </c>
      <c r="O102" s="44">
        <v>43893</v>
      </c>
      <c r="P102" s="43" t="s">
        <v>25</v>
      </c>
      <c r="Q102" s="43" t="s">
        <v>26</v>
      </c>
      <c r="R102" s="43" t="s">
        <v>27</v>
      </c>
      <c r="S102" s="46" t="s">
        <v>28</v>
      </c>
      <c r="T102" s="47" t="s">
        <v>29</v>
      </c>
      <c r="U102" s="43">
        <f>Imc(F102,E102)</f>
        <v>255.10204081632656</v>
      </c>
      <c r="V102" s="48"/>
    </row>
    <row r="103" spans="1:22" x14ac:dyDescent="0.25">
      <c r="A103" s="42">
        <v>95</v>
      </c>
      <c r="B103" s="43" t="s">
        <v>20</v>
      </c>
      <c r="C103" s="43" t="s">
        <v>21</v>
      </c>
      <c r="D103" s="44">
        <v>20646</v>
      </c>
      <c r="E103" s="43">
        <v>84</v>
      </c>
      <c r="F103" s="43">
        <v>180</v>
      </c>
      <c r="G103" s="43" t="s">
        <v>22</v>
      </c>
      <c r="H103" s="43" t="s">
        <v>22</v>
      </c>
      <c r="I103" s="43">
        <v>30</v>
      </c>
      <c r="J103" s="43" t="s">
        <v>124</v>
      </c>
      <c r="K103" s="43" t="s">
        <v>29</v>
      </c>
      <c r="L103" s="43" t="s">
        <v>76</v>
      </c>
      <c r="M103" s="45" t="s">
        <v>75</v>
      </c>
      <c r="N103" s="44" t="s">
        <v>135</v>
      </c>
      <c r="O103" s="44">
        <v>43893</v>
      </c>
      <c r="P103" s="43" t="s">
        <v>25</v>
      </c>
      <c r="Q103" s="43" t="s">
        <v>26</v>
      </c>
      <c r="R103" s="43" t="s">
        <v>27</v>
      </c>
      <c r="S103" s="46" t="s">
        <v>28</v>
      </c>
      <c r="T103" s="47" t="s">
        <v>29</v>
      </c>
      <c r="U103" s="43">
        <f>Imc(F103,E103)</f>
        <v>255.10204081632656</v>
      </c>
      <c r="V103" s="48"/>
    </row>
    <row r="104" spans="1:22" x14ac:dyDescent="0.25">
      <c r="A104" s="42">
        <v>95</v>
      </c>
      <c r="B104" s="43" t="s">
        <v>20</v>
      </c>
      <c r="C104" s="43" t="s">
        <v>21</v>
      </c>
      <c r="D104" s="44">
        <v>20646</v>
      </c>
      <c r="E104" s="43">
        <v>84</v>
      </c>
      <c r="F104" s="43">
        <v>185</v>
      </c>
      <c r="G104" s="43" t="s">
        <v>22</v>
      </c>
      <c r="H104" s="43" t="s">
        <v>22</v>
      </c>
      <c r="I104" s="43">
        <v>30</v>
      </c>
      <c r="J104" s="43" t="s">
        <v>124</v>
      </c>
      <c r="K104" s="43" t="s">
        <v>29</v>
      </c>
      <c r="L104" s="43" t="s">
        <v>76</v>
      </c>
      <c r="M104" s="45" t="s">
        <v>136</v>
      </c>
      <c r="N104" s="44">
        <v>43863</v>
      </c>
      <c r="O104" s="44">
        <v>43893</v>
      </c>
      <c r="P104" s="43" t="s">
        <v>25</v>
      </c>
      <c r="Q104" s="43" t="s">
        <v>26</v>
      </c>
      <c r="R104" s="43" t="s">
        <v>27</v>
      </c>
      <c r="S104" s="46" t="s">
        <v>28</v>
      </c>
      <c r="T104" s="47" t="s">
        <v>29</v>
      </c>
      <c r="U104" s="43">
        <f>Imc(F104,E104)</f>
        <v>262.18820861678006</v>
      </c>
      <c r="V104" s="48"/>
    </row>
  </sheetData>
  <dataValidations count="10">
    <dataValidation type="list" allowBlank="1" showInputMessage="1" showErrorMessage="1" sqref="B2:B104" xr:uid="{4225ECC3-EEAB-42CF-AF83-635B0E30BBE2}">
      <formula1>"Gauche,Droite"</formula1>
    </dataValidation>
    <dataValidation type="list" allowBlank="1" showInputMessage="1" showErrorMessage="1" sqref="C2:C104" xr:uid="{573FF138-EA55-48FD-B0FE-2BBB441DCF38}">
      <formula1>"Masculin,Féminin"</formula1>
    </dataValidation>
    <dataValidation type="list" allowBlank="1" showInputMessage="1" showErrorMessage="1" sqref="G2:G104" xr:uid="{0E92D6A3-0CAF-4D2C-B310-740224EDBB88}">
      <formula1>"Positif,Négatif,None,Non Attribuable"</formula1>
    </dataValidation>
    <dataValidation type="list" allowBlank="1" showInputMessage="1" showErrorMessage="1" sqref="H2:H104" xr:uid="{C7E26364-D04D-479C-A2EF-238EC1B10E88}">
      <formula1>"Positif,Négatif"</formula1>
    </dataValidation>
    <dataValidation type="list" allowBlank="1" showInputMessage="1" showErrorMessage="1" sqref="R2:R104" xr:uid="{CE727272-684B-479C-9886-1F4ECCAB2D9D}">
      <formula1>"DOSE REDUITE,HOSPITALISATION,AUTRE MEDICAMENT,AUCUNE ACTION"</formula1>
    </dataValidation>
    <dataValidation type="list" allowBlank="1" showInputMessage="1" showErrorMessage="1" sqref="S2:S104" xr:uid="{B3934A49-DCB6-43EE-B338-D625F04F68B7}">
      <formula1>"RESOLU,NON RESOLU,DECES,SEQUELLES,ENCOURS DE RESOLUTION,INCONNU"</formula1>
    </dataValidation>
    <dataValidation type="list" allowBlank="1" showInputMessage="1" showErrorMessage="1" sqref="T2:T104" xr:uid="{C5A55F06-E75D-4B16-91F5-01F09179F849}">
      <formula1>"OUI,POSSIBLE,NON,NE SAIT PAS"</formula1>
    </dataValidation>
    <dataValidation type="list" allowBlank="1" showInputMessage="1" showErrorMessage="1" sqref="Q2:Q104" xr:uid="{18FB3F53-4DEC-4236-A682-7444E2F45C12}">
      <formula1>"GRAVE,NON GRAVE"</formula1>
    </dataValidation>
    <dataValidation type="list" allowBlank="1" showInputMessage="1" showErrorMessage="1" sqref="P2:P104" xr:uid="{A69178C7-30EC-446F-9B53-874160A10622}">
      <formula1>"LEGER,MODERE,SEVERE"</formula1>
    </dataValidation>
    <dataValidation type="list" allowBlank="1" showInputMessage="1" showErrorMessage="1" sqref="J2:J104" xr:uid="{5E8C7276-4FB2-4E4C-BDFB-12E353270C44}">
      <formula1>"OUI,NON"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F5DB0-E720-44AF-84BD-ABEE57E5AD89}">
  <sheetPr codeName="Feuil3"/>
  <dimension ref="A1:A4"/>
  <sheetViews>
    <sheetView workbookViewId="0"/>
  </sheetViews>
  <sheetFormatPr baseColWidth="10" defaultRowHeight="15" x14ac:dyDescent="0.25"/>
  <sheetData>
    <row r="1" spans="1:1" x14ac:dyDescent="0.25">
      <c r="A1" t="s">
        <v>22</v>
      </c>
    </row>
    <row r="2" spans="1:1" x14ac:dyDescent="0.25">
      <c r="A2" t="s">
        <v>35</v>
      </c>
    </row>
    <row r="3" spans="1:1" x14ac:dyDescent="0.25">
      <c r="A3" t="s">
        <v>31</v>
      </c>
    </row>
    <row r="4" spans="1:1" x14ac:dyDescent="0.25">
      <c r="A4" t="s">
        <v>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2E745-DFB5-42D6-9E2F-D389A4AA68EC}">
  <sheetPr codeName="Feuil4"/>
  <dimension ref="A1:A2"/>
  <sheetViews>
    <sheetView workbookViewId="0">
      <selection activeCell="B6" sqref="B6"/>
    </sheetView>
  </sheetViews>
  <sheetFormatPr baseColWidth="10" defaultRowHeight="15" x14ac:dyDescent="0.25"/>
  <sheetData>
    <row r="1" spans="1:1" x14ac:dyDescent="0.25">
      <c r="A1" t="s">
        <v>30</v>
      </c>
    </row>
    <row r="2" spans="1:1" x14ac:dyDescent="0.25">
      <c r="A2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7F69C-834C-4244-9DD2-DF6FD7A4712B}">
  <sheetPr codeName="Feuil5"/>
  <dimension ref="A1:A4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35</v>
      </c>
    </row>
    <row r="2" spans="1:1" x14ac:dyDescent="0.25">
      <c r="A2" t="s">
        <v>22</v>
      </c>
    </row>
    <row r="3" spans="1:1" x14ac:dyDescent="0.25">
      <c r="A3" t="s">
        <v>31</v>
      </c>
    </row>
    <row r="4" spans="1:1" x14ac:dyDescent="0.25">
      <c r="A4" t="s">
        <v>90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39E8D-100F-4633-A0BA-BCA2A691BE89}">
  <sheetPr codeName="Feuil6"/>
  <dimension ref="A1:A2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20</v>
      </c>
    </row>
    <row r="2" spans="1:1" x14ac:dyDescent="0.25">
      <c r="A2" t="s">
        <v>39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CCB2B-7E49-40D1-88E4-53651504A3F0}">
  <sheetPr codeName="Feuil7"/>
  <dimension ref="A1:A2"/>
  <sheetViews>
    <sheetView workbookViewId="0">
      <selection activeCell="A2" sqref="A2"/>
    </sheetView>
  </sheetViews>
  <sheetFormatPr baseColWidth="10" defaultRowHeight="15" x14ac:dyDescent="0.25"/>
  <sheetData>
    <row r="1" spans="1:1" x14ac:dyDescent="0.25">
      <c r="A1" t="s">
        <v>35</v>
      </c>
    </row>
    <row r="2" spans="1:1" x14ac:dyDescent="0.25">
      <c r="A2" t="s">
        <v>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C2C0D-6ADB-485A-85B8-DC40223604D5}">
  <sheetPr codeName="Feuil8"/>
  <dimension ref="A1:A3"/>
  <sheetViews>
    <sheetView workbookViewId="0">
      <selection activeCell="A3" sqref="A3"/>
    </sheetView>
  </sheetViews>
  <sheetFormatPr baseColWidth="10" defaultRowHeight="15" x14ac:dyDescent="0.25"/>
  <sheetData>
    <row r="1" spans="1:1" x14ac:dyDescent="0.25">
      <c r="A1" t="s">
        <v>25</v>
      </c>
    </row>
    <row r="2" spans="1:1" x14ac:dyDescent="0.25">
      <c r="A2" t="s">
        <v>38</v>
      </c>
    </row>
    <row r="3" spans="1:1" x14ac:dyDescent="0.25">
      <c r="A3" t="s">
        <v>42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0FA15-9B42-4FD4-99AB-D5E04ECCCF8B}">
  <sheetPr codeName="Feuil9"/>
  <dimension ref="A1:A2"/>
  <sheetViews>
    <sheetView workbookViewId="0">
      <selection activeCell="B9" sqref="B9"/>
    </sheetView>
  </sheetViews>
  <sheetFormatPr baseColWidth="10" defaultRowHeight="15" x14ac:dyDescent="0.25"/>
  <sheetData>
    <row r="1" spans="1:1" x14ac:dyDescent="0.25">
      <c r="A1" t="s">
        <v>43</v>
      </c>
    </row>
    <row r="2" spans="1:1" x14ac:dyDescent="0.25">
      <c r="A2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F2A98B-3487-419F-8CB6-BB5F64223BBC}">
  <sheetPr codeName="Feuil10"/>
  <dimension ref="A1:A2"/>
  <sheetViews>
    <sheetView workbookViewId="0">
      <selection activeCell="D7" sqref="D7"/>
    </sheetView>
  </sheetViews>
  <sheetFormatPr baseColWidth="10" defaultRowHeight="15" x14ac:dyDescent="0.25"/>
  <sheetData>
    <row r="1" spans="1:1" x14ac:dyDescent="0.25">
      <c r="A1" t="s">
        <v>29</v>
      </c>
    </row>
    <row r="2" spans="1:1" x14ac:dyDescent="0.25">
      <c r="A2" t="s">
        <v>124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5981D-667D-4AB5-BA02-895CDA050474}">
  <sheetPr codeName="Feuil11"/>
  <dimension ref="A1:A5"/>
  <sheetViews>
    <sheetView workbookViewId="0">
      <selection activeCell="A5" sqref="A5"/>
    </sheetView>
  </sheetViews>
  <sheetFormatPr baseColWidth="10" defaultRowHeight="15" x14ac:dyDescent="0.25"/>
  <sheetData>
    <row r="1" spans="1:1" x14ac:dyDescent="0.25">
      <c r="A1" t="s">
        <v>28</v>
      </c>
    </row>
    <row r="2" spans="1:1" x14ac:dyDescent="0.25">
      <c r="A2" t="s">
        <v>86</v>
      </c>
    </row>
    <row r="3" spans="1:1" x14ac:dyDescent="0.25">
      <c r="A3" t="s">
        <v>134</v>
      </c>
    </row>
    <row r="4" spans="1:1" x14ac:dyDescent="0.25">
      <c r="A4" t="s">
        <v>53</v>
      </c>
    </row>
    <row r="5" spans="1:1" x14ac:dyDescent="0.25">
      <c r="A5" t="s">
        <v>82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187FF-0390-4BB1-903B-E7C77C100B6C}">
  <sheetPr codeName="Feuil12"/>
  <dimension ref="A1:A3"/>
  <sheetViews>
    <sheetView workbookViewId="0">
      <selection activeCell="B11" sqref="B11"/>
    </sheetView>
  </sheetViews>
  <sheetFormatPr baseColWidth="10" defaultRowHeight="15" x14ac:dyDescent="0.25"/>
  <sheetData>
    <row r="1" spans="1:1" x14ac:dyDescent="0.25">
      <c r="A1" t="s">
        <v>29</v>
      </c>
    </row>
    <row r="2" spans="1:1" x14ac:dyDescent="0.25">
      <c r="A2" t="s">
        <v>49</v>
      </c>
    </row>
    <row r="3" spans="1:1" x14ac:dyDescent="0.25">
      <c r="A3" t="s">
        <v>45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467FB-4D25-45D0-A8A2-53C9E659F4DA}">
  <sheetPr codeName="Feuil13"/>
  <dimension ref="A1:A4"/>
  <sheetViews>
    <sheetView workbookViewId="0">
      <selection activeCell="B10" sqref="B10"/>
    </sheetView>
  </sheetViews>
  <sheetFormatPr baseColWidth="10" defaultRowHeight="15" x14ac:dyDescent="0.25"/>
  <sheetData>
    <row r="1" spans="1:1" x14ac:dyDescent="0.25">
      <c r="A1" t="s">
        <v>34</v>
      </c>
    </row>
    <row r="2" spans="1:1" x14ac:dyDescent="0.25">
      <c r="A2" t="s">
        <v>52</v>
      </c>
    </row>
    <row r="3" spans="1:1" x14ac:dyDescent="0.25">
      <c r="A3" t="s">
        <v>44</v>
      </c>
    </row>
    <row r="4" spans="1:1" x14ac:dyDescent="0.25">
      <c r="A4" t="s">
        <v>27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29A7E-5882-40B8-95FD-AE475C1DBAD7}">
  <sheetPr codeName="Feuil14"/>
  <dimension ref="A1:A2"/>
  <sheetViews>
    <sheetView workbookViewId="0">
      <selection activeCell="B3" sqref="B3"/>
    </sheetView>
  </sheetViews>
  <sheetFormatPr baseColWidth="10" defaultRowHeight="15" x14ac:dyDescent="0.25"/>
  <sheetData>
    <row r="1" spans="1:1" x14ac:dyDescent="0.25">
      <c r="A1" t="s">
        <v>29</v>
      </c>
    </row>
    <row r="2" spans="1:1" x14ac:dyDescent="0.25">
      <c r="A2" t="s">
        <v>124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3D20D-48B7-4802-97FD-FF628B2E3B0B}">
  <sheetPr codeName="Feuil2"/>
  <dimension ref="A1:AQ102"/>
  <sheetViews>
    <sheetView topLeftCell="AE43" zoomScaleNormal="100" workbookViewId="0">
      <selection activeCell="AF34" sqref="AF34"/>
    </sheetView>
  </sheetViews>
  <sheetFormatPr baseColWidth="10" defaultRowHeight="15" x14ac:dyDescent="0.25"/>
  <cols>
    <col min="1" max="1" width="12.5703125" customWidth="1"/>
    <col min="4" max="4" width="12.42578125" customWidth="1"/>
    <col min="7" max="7" width="13.28515625" customWidth="1"/>
    <col min="8" max="8" width="11.5703125" customWidth="1"/>
    <col min="9" max="9" width="13.7109375" customWidth="1"/>
    <col min="10" max="10" width="11.7109375" customWidth="1"/>
    <col min="11" max="11" width="15.42578125" customWidth="1"/>
    <col min="12" max="12" width="15.28515625" customWidth="1"/>
    <col min="13" max="13" width="23.42578125" customWidth="1"/>
    <col min="14" max="14" width="13.7109375" customWidth="1"/>
    <col min="16" max="16" width="14.140625" customWidth="1"/>
    <col min="17" max="17" width="16" customWidth="1"/>
    <col min="18" max="18" width="21.42578125" customWidth="1"/>
    <col min="19" max="19" width="18.140625" customWidth="1"/>
    <col min="20" max="20" width="15.42578125" customWidth="1"/>
    <col min="22" max="22" width="27.140625" customWidth="1"/>
    <col min="25" max="25" width="26.140625" customWidth="1"/>
    <col min="27" max="27" width="16.28515625" customWidth="1"/>
    <col min="37" max="37" width="26.7109375" customWidth="1"/>
  </cols>
  <sheetData>
    <row r="1" spans="1:43" x14ac:dyDescent="0.25">
      <c r="A1" s="9" t="s">
        <v>2</v>
      </c>
      <c r="B1" s="10" t="s">
        <v>3</v>
      </c>
      <c r="C1" s="10" t="s">
        <v>4</v>
      </c>
      <c r="D1" s="10" t="s">
        <v>5</v>
      </c>
      <c r="E1" s="10" t="s">
        <v>0</v>
      </c>
      <c r="F1" s="10" t="s">
        <v>1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  <c r="L1" s="10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0" t="s">
        <v>18</v>
      </c>
      <c r="T1" s="11" t="s">
        <v>19</v>
      </c>
      <c r="U1" s="10" t="s">
        <v>106</v>
      </c>
      <c r="V1" s="10" t="s">
        <v>107</v>
      </c>
      <c r="AA1" s="19"/>
      <c r="AB1" s="19"/>
      <c r="AG1" s="1" t="s">
        <v>117</v>
      </c>
      <c r="AH1" s="1" t="s">
        <v>118</v>
      </c>
      <c r="AJ1" s="1" t="s">
        <v>106</v>
      </c>
      <c r="AK1" s="1" t="s">
        <v>107</v>
      </c>
      <c r="AM1" s="6" t="s">
        <v>107</v>
      </c>
      <c r="AN1" s="6" t="s">
        <v>116</v>
      </c>
      <c r="AP1" s="1" t="s">
        <v>10</v>
      </c>
      <c r="AQ1" s="1" t="s">
        <v>11</v>
      </c>
    </row>
    <row r="2" spans="1:43" x14ac:dyDescent="0.25">
      <c r="A2" s="7">
        <v>1</v>
      </c>
      <c r="B2" s="2" t="s">
        <v>20</v>
      </c>
      <c r="C2" s="2" t="s">
        <v>21</v>
      </c>
      <c r="D2" s="3">
        <v>38006</v>
      </c>
      <c r="E2" s="2">
        <v>165</v>
      </c>
      <c r="F2" s="2">
        <v>55</v>
      </c>
      <c r="G2" s="2" t="s">
        <v>22</v>
      </c>
      <c r="H2" s="2" t="s">
        <v>22</v>
      </c>
      <c r="I2" s="2">
        <v>12</v>
      </c>
      <c r="J2" s="2" t="b">
        <v>1</v>
      </c>
      <c r="K2" s="2" t="b">
        <v>1</v>
      </c>
      <c r="L2" s="2" t="s">
        <v>23</v>
      </c>
      <c r="M2" s="4" t="s">
        <v>24</v>
      </c>
      <c r="N2" s="3">
        <v>43831</v>
      </c>
      <c r="O2" s="3">
        <v>43840</v>
      </c>
      <c r="P2" s="2" t="s">
        <v>25</v>
      </c>
      <c r="Q2" s="2" t="s">
        <v>26</v>
      </c>
      <c r="R2" s="2" t="s">
        <v>27</v>
      </c>
      <c r="S2" s="5" t="s">
        <v>28</v>
      </c>
      <c r="T2" s="8" t="s">
        <v>29</v>
      </c>
      <c r="U2" s="18">
        <f t="shared" ref="U2:U33" si="0">Imc(F2,E2)</f>
        <v>20.202020202020204</v>
      </c>
      <c r="V2" s="4" t="s">
        <v>108</v>
      </c>
      <c r="AA2" s="19"/>
      <c r="AB2" s="19"/>
      <c r="AG2" s="2" t="s">
        <v>23</v>
      </c>
      <c r="AH2" s="2">
        <f>COUNTIF(AQ2:AQ101,"Doliprane")</f>
        <v>2</v>
      </c>
      <c r="AJ2" s="4">
        <f>[1]données!F2/([1]données!E2/100)^2</f>
        <v>20.202020202020204</v>
      </c>
      <c r="AK2" s="4" t="s">
        <v>108</v>
      </c>
      <c r="AM2" s="4" t="s">
        <v>111</v>
      </c>
      <c r="AN2" s="4">
        <f>COUNTIF(AJ2:AJ101,"&lt;16.5")</f>
        <v>8</v>
      </c>
      <c r="AP2" s="2" t="b">
        <v>1</v>
      </c>
      <c r="AQ2" s="2" t="s">
        <v>23</v>
      </c>
    </row>
    <row r="3" spans="1:43" x14ac:dyDescent="0.25">
      <c r="A3" s="7">
        <f t="shared" ref="A3:A34" si="1">1+SUM(A2)</f>
        <v>2</v>
      </c>
      <c r="B3" s="2" t="s">
        <v>20</v>
      </c>
      <c r="C3" s="2" t="s">
        <v>30</v>
      </c>
      <c r="D3" s="3">
        <v>36514</v>
      </c>
      <c r="E3" s="2">
        <v>180</v>
      </c>
      <c r="F3" s="2">
        <v>70</v>
      </c>
      <c r="G3" s="2" t="s">
        <v>31</v>
      </c>
      <c r="H3" s="2" t="s">
        <v>22</v>
      </c>
      <c r="I3" s="2">
        <v>12</v>
      </c>
      <c r="J3" s="2" t="b">
        <v>0</v>
      </c>
      <c r="K3" s="2" t="b">
        <v>1</v>
      </c>
      <c r="L3" s="2" t="s">
        <v>32</v>
      </c>
      <c r="M3" s="4" t="s">
        <v>33</v>
      </c>
      <c r="N3" s="3">
        <v>43863</v>
      </c>
      <c r="O3" s="3">
        <v>43878</v>
      </c>
      <c r="P3" s="2" t="s">
        <v>25</v>
      </c>
      <c r="Q3" s="2" t="s">
        <v>26</v>
      </c>
      <c r="R3" s="2" t="s">
        <v>34</v>
      </c>
      <c r="S3" s="5" t="s">
        <v>28</v>
      </c>
      <c r="T3" s="8" t="s">
        <v>29</v>
      </c>
      <c r="U3" s="2">
        <f t="shared" si="0"/>
        <v>21.604938271604937</v>
      </c>
      <c r="V3" s="4" t="s">
        <v>108</v>
      </c>
      <c r="AA3" s="19"/>
      <c r="AB3" s="19"/>
      <c r="AG3" s="2" t="s">
        <v>32</v>
      </c>
      <c r="AH3" s="2">
        <f>COUNTIF(AQ2:AQ101,"Ventoline")</f>
        <v>6</v>
      </c>
      <c r="AJ3" s="4">
        <f>[1]données!F3/([1]données!E3/100)^2</f>
        <v>21.604938271604937</v>
      </c>
      <c r="AK3" s="4" t="s">
        <v>108</v>
      </c>
      <c r="AM3" s="4" t="s">
        <v>112</v>
      </c>
      <c r="AN3" s="4">
        <f>COUNTIF(AJ2:AJ101,"&gt;=16.5")-COUNTIF(AJ2:AJ101,"&gt;18.5")</f>
        <v>10</v>
      </c>
      <c r="AP3" s="2" t="b">
        <v>1</v>
      </c>
      <c r="AQ3" s="2" t="s">
        <v>32</v>
      </c>
    </row>
    <row r="4" spans="1:43" x14ac:dyDescent="0.25">
      <c r="A4" s="7">
        <f t="shared" si="1"/>
        <v>3</v>
      </c>
      <c r="B4" s="2" t="s">
        <v>20</v>
      </c>
      <c r="C4" s="2" t="s">
        <v>30</v>
      </c>
      <c r="D4" s="3">
        <v>32874</v>
      </c>
      <c r="E4" s="2">
        <v>169</v>
      </c>
      <c r="F4" s="2">
        <v>80</v>
      </c>
      <c r="G4" s="2" t="s">
        <v>31</v>
      </c>
      <c r="H4" s="2" t="s">
        <v>35</v>
      </c>
      <c r="I4" s="2">
        <v>15</v>
      </c>
      <c r="J4" s="2" t="b">
        <v>0</v>
      </c>
      <c r="K4" s="2" t="b">
        <v>1</v>
      </c>
      <c r="L4" s="2" t="s">
        <v>36</v>
      </c>
      <c r="M4" s="4" t="s">
        <v>37</v>
      </c>
      <c r="N4" s="3">
        <v>43772</v>
      </c>
      <c r="O4" s="3">
        <v>43837</v>
      </c>
      <c r="P4" s="2" t="s">
        <v>38</v>
      </c>
      <c r="Q4" s="2" t="s">
        <v>26</v>
      </c>
      <c r="R4" s="2" t="s">
        <v>27</v>
      </c>
      <c r="S4" s="5" t="s">
        <v>28</v>
      </c>
      <c r="T4" s="8" t="s">
        <v>29</v>
      </c>
      <c r="U4" s="2">
        <f t="shared" si="0"/>
        <v>28.010223731662059</v>
      </c>
      <c r="V4" s="4" t="s">
        <v>109</v>
      </c>
      <c r="AA4" s="19"/>
      <c r="AB4" s="19"/>
      <c r="AG4" s="2" t="s">
        <v>36</v>
      </c>
      <c r="AH4" s="2">
        <f>COUNTIF(AQ2:AQ101,"Aspirine")</f>
        <v>14</v>
      </c>
      <c r="AJ4" s="4">
        <f>[1]données!F4/([1]données!E4/100)^2</f>
        <v>28.010223731662059</v>
      </c>
      <c r="AK4" s="4" t="s">
        <v>109</v>
      </c>
      <c r="AM4" s="4" t="s">
        <v>115</v>
      </c>
      <c r="AN4" s="4">
        <f>COUNTIF(AJ2:AJ101,"&gt;=18.5")-COUNTIF(AJ2:AJ101,"&gt;25")</f>
        <v>25</v>
      </c>
      <c r="AP4" s="2" t="b">
        <v>1</v>
      </c>
      <c r="AQ4" s="2" t="s">
        <v>36</v>
      </c>
    </row>
    <row r="5" spans="1:43" x14ac:dyDescent="0.25">
      <c r="A5" s="7">
        <f t="shared" si="1"/>
        <v>4</v>
      </c>
      <c r="B5" s="2" t="s">
        <v>39</v>
      </c>
      <c r="C5" s="2" t="s">
        <v>21</v>
      </c>
      <c r="D5" s="3">
        <v>33270</v>
      </c>
      <c r="E5" s="2">
        <v>187</v>
      </c>
      <c r="F5" s="2">
        <v>76</v>
      </c>
      <c r="G5" s="2" t="s">
        <v>35</v>
      </c>
      <c r="H5" s="2" t="s">
        <v>22</v>
      </c>
      <c r="I5" s="2">
        <v>20</v>
      </c>
      <c r="J5" s="2" t="b">
        <v>0</v>
      </c>
      <c r="K5" s="2" t="b">
        <v>1</v>
      </c>
      <c r="L5" s="2" t="s">
        <v>40</v>
      </c>
      <c r="M5" s="4" t="s">
        <v>41</v>
      </c>
      <c r="N5" s="3">
        <v>43878</v>
      </c>
      <c r="O5" s="3">
        <v>43893</v>
      </c>
      <c r="P5" s="2" t="s">
        <v>42</v>
      </c>
      <c r="Q5" s="2" t="s">
        <v>43</v>
      </c>
      <c r="R5" s="2" t="s">
        <v>44</v>
      </c>
      <c r="S5" s="5" t="s">
        <v>28</v>
      </c>
      <c r="T5" s="8" t="s">
        <v>45</v>
      </c>
      <c r="U5" s="2">
        <f t="shared" si="0"/>
        <v>21.733535417083701</v>
      </c>
      <c r="V5" s="4" t="s">
        <v>108</v>
      </c>
      <c r="AA5" s="19"/>
      <c r="AB5" s="19"/>
      <c r="AG5" s="2" t="s">
        <v>40</v>
      </c>
      <c r="AH5" s="2">
        <f>COUNTIF(AQ2:AQ101,"Eri")</f>
        <v>4</v>
      </c>
      <c r="AJ5" s="4">
        <f>[1]données!F5/([1]données!E5/100)^2</f>
        <v>21.733535417083701</v>
      </c>
      <c r="AK5" s="4" t="s">
        <v>108</v>
      </c>
      <c r="AM5" s="4" t="s">
        <v>109</v>
      </c>
      <c r="AN5" s="4">
        <f>COUNTIF(AJ2:AJ101,"&gt;=25")-COUNTIF(AJ2:AJ101,"&gt;30")</f>
        <v>32</v>
      </c>
      <c r="AP5" s="2" t="b">
        <v>1</v>
      </c>
      <c r="AQ5" s="2" t="s">
        <v>40</v>
      </c>
    </row>
    <row r="6" spans="1:43" x14ac:dyDescent="0.25">
      <c r="A6" s="7">
        <f t="shared" si="1"/>
        <v>5</v>
      </c>
      <c r="B6" s="2" t="s">
        <v>39</v>
      </c>
      <c r="C6" s="2" t="s">
        <v>30</v>
      </c>
      <c r="D6" s="3">
        <v>33317</v>
      </c>
      <c r="E6" s="2">
        <v>182</v>
      </c>
      <c r="F6" s="2">
        <v>93</v>
      </c>
      <c r="G6" s="2" t="s">
        <v>31</v>
      </c>
      <c r="H6" s="2" t="s">
        <v>22</v>
      </c>
      <c r="I6" s="2">
        <v>0</v>
      </c>
      <c r="J6" s="2" t="b">
        <v>0</v>
      </c>
      <c r="K6" s="2" t="b">
        <v>1</v>
      </c>
      <c r="L6" s="2" t="s">
        <v>46</v>
      </c>
      <c r="M6" s="4" t="s">
        <v>47</v>
      </c>
      <c r="N6" s="3">
        <v>43604</v>
      </c>
      <c r="O6" s="3">
        <v>43610</v>
      </c>
      <c r="P6" s="2" t="s">
        <v>25</v>
      </c>
      <c r="Q6" s="2" t="s">
        <v>26</v>
      </c>
      <c r="R6" s="2" t="s">
        <v>34</v>
      </c>
      <c r="S6" s="5" t="s">
        <v>48</v>
      </c>
      <c r="T6" s="8" t="s">
        <v>49</v>
      </c>
      <c r="U6" s="2">
        <f t="shared" si="0"/>
        <v>28.076319285110493</v>
      </c>
      <c r="V6" s="4" t="s">
        <v>109</v>
      </c>
      <c r="AA6" s="19"/>
      <c r="AB6" s="19"/>
      <c r="AG6" s="2" t="s">
        <v>46</v>
      </c>
      <c r="AH6" s="2">
        <f>COUNTIF(AQ2:AQ101,"Genset")</f>
        <v>3</v>
      </c>
      <c r="AJ6" s="4">
        <f>[1]données!F6/([1]données!E6/100)^2</f>
        <v>28.076319285110493</v>
      </c>
      <c r="AK6" s="4" t="s">
        <v>109</v>
      </c>
      <c r="AM6" s="4" t="s">
        <v>113</v>
      </c>
      <c r="AN6" s="4">
        <v>15</v>
      </c>
      <c r="AP6" s="2" t="b">
        <v>1</v>
      </c>
      <c r="AQ6" s="2" t="s">
        <v>46</v>
      </c>
    </row>
    <row r="7" spans="1:43" x14ac:dyDescent="0.25">
      <c r="A7" s="7">
        <f t="shared" si="1"/>
        <v>6</v>
      </c>
      <c r="B7" s="2" t="s">
        <v>20</v>
      </c>
      <c r="C7" s="2" t="s">
        <v>21</v>
      </c>
      <c r="D7" s="3">
        <v>32518</v>
      </c>
      <c r="E7" s="2">
        <v>171</v>
      </c>
      <c r="F7" s="2">
        <v>90</v>
      </c>
      <c r="G7" s="2" t="s">
        <v>35</v>
      </c>
      <c r="H7" s="2" t="s">
        <v>22</v>
      </c>
      <c r="I7" s="2">
        <v>20</v>
      </c>
      <c r="J7" s="2" t="b">
        <v>0</v>
      </c>
      <c r="K7" s="2" t="b">
        <v>1</v>
      </c>
      <c r="L7" s="2" t="s">
        <v>50</v>
      </c>
      <c r="M7" s="4" t="s">
        <v>51</v>
      </c>
      <c r="N7" s="3">
        <v>43772</v>
      </c>
      <c r="O7" s="3">
        <v>43837</v>
      </c>
      <c r="P7" s="2" t="s">
        <v>42</v>
      </c>
      <c r="Q7" s="2" t="s">
        <v>26</v>
      </c>
      <c r="R7" s="2" t="s">
        <v>52</v>
      </c>
      <c r="S7" s="5" t="s">
        <v>53</v>
      </c>
      <c r="T7" s="8" t="s">
        <v>29</v>
      </c>
      <c r="U7" s="2">
        <f t="shared" si="0"/>
        <v>30.778701138811947</v>
      </c>
      <c r="V7" s="4" t="s">
        <v>113</v>
      </c>
      <c r="AA7" s="19"/>
      <c r="AB7" s="19"/>
      <c r="AG7" s="2" t="s">
        <v>50</v>
      </c>
      <c r="AH7" s="2">
        <f>COUNTIF(AQ2:AQ101,"Méquitizane")</f>
        <v>1</v>
      </c>
      <c r="AJ7" s="4">
        <f>[1]données!F7/([1]données!E7/100)^2</f>
        <v>30.778701138811947</v>
      </c>
      <c r="AK7" s="4" t="s">
        <v>113</v>
      </c>
      <c r="AM7" s="4" t="s">
        <v>114</v>
      </c>
      <c r="AN7" s="4">
        <v>7</v>
      </c>
      <c r="AP7" s="2" t="b">
        <v>1</v>
      </c>
      <c r="AQ7" s="2" t="s">
        <v>50</v>
      </c>
    </row>
    <row r="8" spans="1:43" x14ac:dyDescent="0.25">
      <c r="A8" s="7">
        <f t="shared" si="1"/>
        <v>7</v>
      </c>
      <c r="B8" s="2" t="s">
        <v>39</v>
      </c>
      <c r="C8" s="2" t="s">
        <v>30</v>
      </c>
      <c r="D8" s="3">
        <v>36453</v>
      </c>
      <c r="E8" s="2">
        <v>175</v>
      </c>
      <c r="F8" s="2">
        <v>55</v>
      </c>
      <c r="G8" s="2" t="s">
        <v>31</v>
      </c>
      <c r="H8" s="2" t="s">
        <v>22</v>
      </c>
      <c r="I8" s="2">
        <v>23</v>
      </c>
      <c r="J8" s="2" t="b">
        <v>0</v>
      </c>
      <c r="K8" s="2" t="b">
        <v>1</v>
      </c>
      <c r="L8" s="2" t="s">
        <v>97</v>
      </c>
      <c r="M8" s="4" t="s">
        <v>54</v>
      </c>
      <c r="N8" s="3">
        <v>43860</v>
      </c>
      <c r="O8" s="3">
        <v>43895</v>
      </c>
      <c r="P8" s="2" t="s">
        <v>38</v>
      </c>
      <c r="Q8" s="2" t="s">
        <v>26</v>
      </c>
      <c r="R8" s="2" t="s">
        <v>27</v>
      </c>
      <c r="S8" s="5" t="s">
        <v>48</v>
      </c>
      <c r="T8" s="8" t="s">
        <v>49</v>
      </c>
      <c r="U8" s="2">
        <f t="shared" si="0"/>
        <v>17.959183673469386</v>
      </c>
      <c r="V8" s="4" t="s">
        <v>112</v>
      </c>
      <c r="AA8" s="19"/>
      <c r="AB8" s="19"/>
      <c r="AG8" s="2" t="s">
        <v>97</v>
      </c>
      <c r="AH8" s="2">
        <f>COUNTIF(AQ2:AQ101,"Maalox")</f>
        <v>3</v>
      </c>
      <c r="AJ8" s="4">
        <f>[1]données!F8/([1]données!E8/100)^2</f>
        <v>17.959183673469386</v>
      </c>
      <c r="AK8" s="4" t="s">
        <v>112</v>
      </c>
      <c r="AM8" s="4" t="s">
        <v>110</v>
      </c>
      <c r="AN8" s="4">
        <v>3</v>
      </c>
      <c r="AP8" s="2" t="b">
        <v>1</v>
      </c>
      <c r="AQ8" s="2" t="s">
        <v>97</v>
      </c>
    </row>
    <row r="9" spans="1:43" x14ac:dyDescent="0.25">
      <c r="A9" s="7">
        <f t="shared" si="1"/>
        <v>8</v>
      </c>
      <c r="B9" s="2" t="s">
        <v>20</v>
      </c>
      <c r="C9" s="2" t="s">
        <v>21</v>
      </c>
      <c r="D9" s="3">
        <v>28970</v>
      </c>
      <c r="E9" s="2">
        <v>181</v>
      </c>
      <c r="F9" s="2">
        <v>91</v>
      </c>
      <c r="G9" s="2" t="s">
        <v>35</v>
      </c>
      <c r="H9" s="2" t="s">
        <v>22</v>
      </c>
      <c r="I9" s="2">
        <v>0</v>
      </c>
      <c r="J9" s="2" t="b">
        <v>0</v>
      </c>
      <c r="K9" s="2" t="b">
        <v>1</v>
      </c>
      <c r="L9" s="2" t="s">
        <v>55</v>
      </c>
      <c r="M9" s="4" t="s">
        <v>56</v>
      </c>
      <c r="N9" s="3">
        <v>43863</v>
      </c>
      <c r="O9" s="3">
        <v>43878</v>
      </c>
      <c r="P9" s="2" t="s">
        <v>42</v>
      </c>
      <c r="Q9" s="2" t="s">
        <v>43</v>
      </c>
      <c r="R9" s="2" t="s">
        <v>52</v>
      </c>
      <c r="S9" s="5" t="s">
        <v>48</v>
      </c>
      <c r="T9" s="8" t="s">
        <v>29</v>
      </c>
      <c r="U9" s="2">
        <f t="shared" si="0"/>
        <v>27.776929886145112</v>
      </c>
      <c r="V9" s="4" t="s">
        <v>109</v>
      </c>
      <c r="AA9" s="19"/>
      <c r="AB9" s="19"/>
      <c r="AG9" s="2" t="s">
        <v>55</v>
      </c>
      <c r="AH9" s="2">
        <f>COUNTIF(AQ2:AQ101,"Allergine")</f>
        <v>9</v>
      </c>
      <c r="AJ9" s="4">
        <f>[1]données!F9/([1]données!E9/100)^2</f>
        <v>27.776929886145112</v>
      </c>
      <c r="AK9" s="4" t="s">
        <v>109</v>
      </c>
      <c r="AP9" s="2" t="b">
        <v>1</v>
      </c>
      <c r="AQ9" s="2" t="s">
        <v>55</v>
      </c>
    </row>
    <row r="10" spans="1:43" x14ac:dyDescent="0.25">
      <c r="A10" s="7">
        <f t="shared" si="1"/>
        <v>9</v>
      </c>
      <c r="B10" s="2" t="s">
        <v>20</v>
      </c>
      <c r="C10" s="2" t="s">
        <v>30</v>
      </c>
      <c r="D10" s="3">
        <v>25577</v>
      </c>
      <c r="E10" s="2">
        <v>169</v>
      </c>
      <c r="F10" s="2">
        <v>60</v>
      </c>
      <c r="G10" s="2" t="s">
        <v>31</v>
      </c>
      <c r="H10" s="2" t="s">
        <v>35</v>
      </c>
      <c r="I10" s="2">
        <v>32</v>
      </c>
      <c r="J10" s="2" t="b">
        <v>0</v>
      </c>
      <c r="K10" s="2" t="b">
        <v>1</v>
      </c>
      <c r="L10" s="2" t="s">
        <v>36</v>
      </c>
      <c r="M10" s="4" t="s">
        <v>57</v>
      </c>
      <c r="N10" s="3">
        <v>43604</v>
      </c>
      <c r="O10" s="3">
        <v>43610</v>
      </c>
      <c r="P10" s="2" t="s">
        <v>42</v>
      </c>
      <c r="Q10" s="2" t="s">
        <v>43</v>
      </c>
      <c r="R10" s="2" t="s">
        <v>52</v>
      </c>
      <c r="S10" s="5" t="s">
        <v>53</v>
      </c>
      <c r="T10" s="8" t="s">
        <v>49</v>
      </c>
      <c r="U10" s="2">
        <f t="shared" si="0"/>
        <v>21.007667798746546</v>
      </c>
      <c r="V10" s="4" t="s">
        <v>108</v>
      </c>
      <c r="AA10" s="19"/>
      <c r="AB10" s="19"/>
      <c r="AG10" s="2" t="s">
        <v>59</v>
      </c>
      <c r="AH10" s="2">
        <f>COUNTIF(AQ2:AQ101,"Gaviscon")</f>
        <v>4</v>
      </c>
      <c r="AJ10" s="4">
        <f>[1]données!F10/([1]données!E10/100)^2</f>
        <v>21.007667798746546</v>
      </c>
      <c r="AK10" s="4" t="s">
        <v>108</v>
      </c>
      <c r="AP10" s="2" t="b">
        <v>1</v>
      </c>
      <c r="AQ10" s="2" t="s">
        <v>36</v>
      </c>
    </row>
    <row r="11" spans="1:43" x14ac:dyDescent="0.25">
      <c r="A11" s="7">
        <f t="shared" si="1"/>
        <v>10</v>
      </c>
      <c r="B11" s="2" t="s">
        <v>20</v>
      </c>
      <c r="C11" s="2" t="s">
        <v>30</v>
      </c>
      <c r="D11" s="3">
        <v>32882</v>
      </c>
      <c r="E11" s="2">
        <v>190</v>
      </c>
      <c r="F11" s="2">
        <v>110</v>
      </c>
      <c r="G11" s="2" t="s">
        <v>31</v>
      </c>
      <c r="H11" s="2" t="s">
        <v>35</v>
      </c>
      <c r="I11" s="2">
        <v>35</v>
      </c>
      <c r="J11" s="2" t="b">
        <v>0</v>
      </c>
      <c r="K11" s="2" t="b">
        <v>1</v>
      </c>
      <c r="L11" s="2" t="s">
        <v>23</v>
      </c>
      <c r="M11" s="4" t="s">
        <v>58</v>
      </c>
      <c r="N11" s="3">
        <v>43878</v>
      </c>
      <c r="O11" s="3">
        <v>43893</v>
      </c>
      <c r="P11" s="2" t="s">
        <v>25</v>
      </c>
      <c r="Q11" s="2" t="s">
        <v>26</v>
      </c>
      <c r="R11" s="2" t="s">
        <v>27</v>
      </c>
      <c r="S11" s="5" t="s">
        <v>28</v>
      </c>
      <c r="T11" s="8" t="s">
        <v>45</v>
      </c>
      <c r="U11" s="2">
        <f t="shared" si="0"/>
        <v>30.470914127423825</v>
      </c>
      <c r="V11" s="4" t="s">
        <v>113</v>
      </c>
      <c r="AA11" s="19"/>
      <c r="AB11" s="19"/>
      <c r="AG11" s="2" t="s">
        <v>61</v>
      </c>
      <c r="AH11" s="2">
        <f>COUNTIF(AQ2:AQ101,"Omegen")</f>
        <v>2</v>
      </c>
      <c r="AJ11" s="4">
        <f>[1]données!F11/([1]données!E11/100)^2</f>
        <v>30.470914127423825</v>
      </c>
      <c r="AK11" s="4" t="s">
        <v>113</v>
      </c>
      <c r="AP11" s="2" t="b">
        <v>1</v>
      </c>
      <c r="AQ11" s="2" t="s">
        <v>23</v>
      </c>
    </row>
    <row r="12" spans="1:43" x14ac:dyDescent="0.25">
      <c r="A12" s="7">
        <f t="shared" si="1"/>
        <v>11</v>
      </c>
      <c r="B12" s="2" t="s">
        <v>20</v>
      </c>
      <c r="C12" s="2" t="s">
        <v>21</v>
      </c>
      <c r="D12" s="3">
        <v>37557</v>
      </c>
      <c r="E12" s="2">
        <v>170</v>
      </c>
      <c r="F12" s="2">
        <v>45</v>
      </c>
      <c r="G12" s="2" t="s">
        <v>22</v>
      </c>
      <c r="H12" s="2" t="s">
        <v>22</v>
      </c>
      <c r="I12" s="2">
        <v>14</v>
      </c>
      <c r="J12" s="2" t="b">
        <v>0</v>
      </c>
      <c r="K12" s="2" t="b">
        <v>1</v>
      </c>
      <c r="L12" s="2" t="s">
        <v>59</v>
      </c>
      <c r="M12" s="4" t="s">
        <v>60</v>
      </c>
      <c r="N12" s="3">
        <v>43860</v>
      </c>
      <c r="O12" s="3">
        <v>43895</v>
      </c>
      <c r="P12" s="2" t="s">
        <v>38</v>
      </c>
      <c r="Q12" s="2" t="s">
        <v>26</v>
      </c>
      <c r="R12" s="2" t="s">
        <v>34</v>
      </c>
      <c r="S12" s="5" t="s">
        <v>28</v>
      </c>
      <c r="T12" s="8" t="s">
        <v>49</v>
      </c>
      <c r="U12" s="2">
        <f t="shared" si="0"/>
        <v>15.570934256055365</v>
      </c>
      <c r="V12" s="4" t="s">
        <v>111</v>
      </c>
      <c r="AA12" s="19"/>
      <c r="AB12" s="19"/>
      <c r="AG12" s="2" t="s">
        <v>62</v>
      </c>
      <c r="AH12" s="2">
        <f>COUNTIF(AQ2:AQ101,"Fébrilex")</f>
        <v>6</v>
      </c>
      <c r="AJ12" s="4">
        <f>[1]données!F12/([1]données!E12/100)^2</f>
        <v>15.570934256055365</v>
      </c>
      <c r="AK12" s="4" t="s">
        <v>111</v>
      </c>
      <c r="AP12" s="2" t="b">
        <v>1</v>
      </c>
      <c r="AQ12" s="2" t="s">
        <v>59</v>
      </c>
    </row>
    <row r="13" spans="1:43" x14ac:dyDescent="0.25">
      <c r="A13" s="7">
        <f t="shared" si="1"/>
        <v>12</v>
      </c>
      <c r="B13" s="2" t="s">
        <v>20</v>
      </c>
      <c r="C13" s="2" t="s">
        <v>21</v>
      </c>
      <c r="D13" s="3">
        <v>36827</v>
      </c>
      <c r="E13" s="2">
        <v>170</v>
      </c>
      <c r="F13" s="2">
        <v>80</v>
      </c>
      <c r="G13" s="2" t="s">
        <v>22</v>
      </c>
      <c r="H13" s="2" t="s">
        <v>35</v>
      </c>
      <c r="I13" s="2">
        <v>1</v>
      </c>
      <c r="J13" s="2" t="b">
        <v>1</v>
      </c>
      <c r="K13" s="2" t="b">
        <v>1</v>
      </c>
      <c r="L13" s="2" t="s">
        <v>61</v>
      </c>
      <c r="M13" s="4" t="s">
        <v>60</v>
      </c>
      <c r="N13" s="3">
        <v>43831</v>
      </c>
      <c r="O13" s="3">
        <v>43855</v>
      </c>
      <c r="P13" s="2" t="s">
        <v>38</v>
      </c>
      <c r="Q13" s="2" t="s">
        <v>26</v>
      </c>
      <c r="R13" s="2" t="s">
        <v>34</v>
      </c>
      <c r="S13" s="5" t="s">
        <v>28</v>
      </c>
      <c r="T13" s="8" t="s">
        <v>29</v>
      </c>
      <c r="U13" s="2">
        <f t="shared" si="0"/>
        <v>27.681660899653981</v>
      </c>
      <c r="V13" s="4" t="s">
        <v>109</v>
      </c>
      <c r="AA13" s="19"/>
      <c r="AB13" s="19"/>
      <c r="AG13" s="2" t="s">
        <v>64</v>
      </c>
      <c r="AH13" s="2">
        <f>COUNTIF(AQ2:AQ101,"Antinorex")</f>
        <v>3</v>
      </c>
      <c r="AJ13" s="4">
        <f>[1]données!F13/([1]données!E13/100)^2</f>
        <v>27.681660899653981</v>
      </c>
      <c r="AK13" s="4" t="s">
        <v>109</v>
      </c>
      <c r="AP13" s="2" t="b">
        <v>1</v>
      </c>
      <c r="AQ13" s="2" t="s">
        <v>61</v>
      </c>
    </row>
    <row r="14" spans="1:43" x14ac:dyDescent="0.25">
      <c r="A14" s="7">
        <f t="shared" si="1"/>
        <v>13</v>
      </c>
      <c r="B14" s="2" t="s">
        <v>39</v>
      </c>
      <c r="C14" s="2" t="s">
        <v>30</v>
      </c>
      <c r="D14" s="3">
        <v>37165</v>
      </c>
      <c r="E14" s="2">
        <v>159</v>
      </c>
      <c r="F14" s="2">
        <v>80</v>
      </c>
      <c r="G14" s="2" t="s">
        <v>31</v>
      </c>
      <c r="H14" s="2" t="s">
        <v>35</v>
      </c>
      <c r="I14" s="2">
        <v>19</v>
      </c>
      <c r="J14" s="2" t="b">
        <v>0</v>
      </c>
      <c r="K14" s="2" t="b">
        <v>1</v>
      </c>
      <c r="L14" s="2" t="s">
        <v>62</v>
      </c>
      <c r="M14" s="4" t="s">
        <v>63</v>
      </c>
      <c r="N14" s="3">
        <v>43521</v>
      </c>
      <c r="O14" s="3">
        <v>43527</v>
      </c>
      <c r="P14" s="2" t="s">
        <v>38</v>
      </c>
      <c r="Q14" s="2" t="s">
        <v>43</v>
      </c>
      <c r="R14" s="2" t="s">
        <v>44</v>
      </c>
      <c r="S14" s="5" t="s">
        <v>48</v>
      </c>
      <c r="T14" s="8" t="s">
        <v>29</v>
      </c>
      <c r="U14" s="2">
        <f t="shared" si="0"/>
        <v>31.644317867172973</v>
      </c>
      <c r="V14" s="4" t="s">
        <v>113</v>
      </c>
      <c r="AA14" s="19"/>
      <c r="AB14" s="19"/>
      <c r="AG14" s="2" t="s">
        <v>66</v>
      </c>
      <c r="AH14" s="2">
        <f>COUNTIF(AQ2:AQ101,"Flagyl")</f>
        <v>1</v>
      </c>
      <c r="AJ14" s="4">
        <f>[1]données!F14/([1]données!E14/100)^2</f>
        <v>31.644317867172973</v>
      </c>
      <c r="AK14" s="4" t="s">
        <v>113</v>
      </c>
      <c r="AP14" s="2" t="b">
        <v>1</v>
      </c>
      <c r="AQ14" s="2" t="s">
        <v>62</v>
      </c>
    </row>
    <row r="15" spans="1:43" x14ac:dyDescent="0.25">
      <c r="A15" s="7">
        <f t="shared" si="1"/>
        <v>14</v>
      </c>
      <c r="B15" s="2" t="s">
        <v>39</v>
      </c>
      <c r="C15" s="2" t="s">
        <v>30</v>
      </c>
      <c r="D15" s="3">
        <v>35704</v>
      </c>
      <c r="E15" s="2">
        <v>182</v>
      </c>
      <c r="F15" s="2">
        <v>80</v>
      </c>
      <c r="G15" s="2" t="s">
        <v>31</v>
      </c>
      <c r="H15" s="2" t="s">
        <v>35</v>
      </c>
      <c r="I15" s="2">
        <v>0</v>
      </c>
      <c r="J15" s="2" t="b">
        <v>0</v>
      </c>
      <c r="K15" s="2" t="b">
        <v>1</v>
      </c>
      <c r="L15" s="2" t="s">
        <v>64</v>
      </c>
      <c r="M15" s="4" t="s">
        <v>65</v>
      </c>
      <c r="N15" s="3">
        <v>43604</v>
      </c>
      <c r="O15" s="3">
        <v>43610</v>
      </c>
      <c r="P15" s="2" t="s">
        <v>42</v>
      </c>
      <c r="Q15" s="2" t="s">
        <v>43</v>
      </c>
      <c r="R15" s="2" t="s">
        <v>44</v>
      </c>
      <c r="S15" s="5" t="s">
        <v>48</v>
      </c>
      <c r="T15" s="8" t="s">
        <v>29</v>
      </c>
      <c r="U15" s="2">
        <f t="shared" si="0"/>
        <v>24.151672503320853</v>
      </c>
      <c r="V15" s="4" t="s">
        <v>108</v>
      </c>
      <c r="AA15" s="19"/>
      <c r="AB15" s="19"/>
      <c r="AG15" s="2" t="s">
        <v>68</v>
      </c>
      <c r="AH15" s="2">
        <f>COUNTIF(AQ2:AQ101,"Héliconacter")</f>
        <v>1</v>
      </c>
      <c r="AJ15" s="4">
        <f>[1]données!F15/([1]données!E15/100)^2</f>
        <v>24.151672503320853</v>
      </c>
      <c r="AK15" s="4" t="s">
        <v>108</v>
      </c>
      <c r="AP15" s="2" t="b">
        <v>1</v>
      </c>
      <c r="AQ15" s="2" t="s">
        <v>64</v>
      </c>
    </row>
    <row r="16" spans="1:43" x14ac:dyDescent="0.25">
      <c r="A16" s="7">
        <f t="shared" si="1"/>
        <v>15</v>
      </c>
      <c r="B16" s="2" t="s">
        <v>39</v>
      </c>
      <c r="C16" s="2" t="s">
        <v>30</v>
      </c>
      <c r="D16" s="3">
        <v>32051</v>
      </c>
      <c r="E16" s="2">
        <v>172</v>
      </c>
      <c r="F16" s="2">
        <v>110</v>
      </c>
      <c r="G16" s="2" t="s">
        <v>31</v>
      </c>
      <c r="H16" s="2" t="s">
        <v>22</v>
      </c>
      <c r="I16" s="2">
        <v>0</v>
      </c>
      <c r="J16" s="2" t="b">
        <v>0</v>
      </c>
      <c r="K16" s="2" t="b">
        <v>1</v>
      </c>
      <c r="L16" s="2" t="s">
        <v>66</v>
      </c>
      <c r="M16" s="5" t="s">
        <v>67</v>
      </c>
      <c r="N16" s="3">
        <v>43772</v>
      </c>
      <c r="O16" s="3">
        <v>43837</v>
      </c>
      <c r="P16" s="2" t="s">
        <v>42</v>
      </c>
      <c r="Q16" s="2" t="s">
        <v>43</v>
      </c>
      <c r="R16" s="2" t="s">
        <v>44</v>
      </c>
      <c r="S16" s="5" t="s">
        <v>28</v>
      </c>
      <c r="T16" s="8" t="s">
        <v>29</v>
      </c>
      <c r="U16" s="2">
        <f t="shared" si="0"/>
        <v>37.182260681449435</v>
      </c>
      <c r="V16" s="4" t="s">
        <v>114</v>
      </c>
      <c r="AA16" s="19"/>
      <c r="AB16" s="19"/>
      <c r="AG16" s="2" t="s">
        <v>70</v>
      </c>
      <c r="AH16" s="2">
        <f>COUNTIF(AQ2:AQ101,"Ubiprofene")</f>
        <v>3</v>
      </c>
      <c r="AJ16" s="4">
        <f>[1]données!F16/([1]données!E16/100)^2</f>
        <v>37.182260681449435</v>
      </c>
      <c r="AK16" s="4" t="s">
        <v>114</v>
      </c>
      <c r="AP16" s="2" t="b">
        <v>1</v>
      </c>
      <c r="AQ16" s="2" t="s">
        <v>66</v>
      </c>
    </row>
    <row r="17" spans="1:43" x14ac:dyDescent="0.25">
      <c r="A17" s="7">
        <f t="shared" si="1"/>
        <v>16</v>
      </c>
      <c r="B17" s="2" t="s">
        <v>20</v>
      </c>
      <c r="C17" s="2" t="s">
        <v>21</v>
      </c>
      <c r="D17" s="3">
        <v>21094</v>
      </c>
      <c r="E17" s="2">
        <v>172</v>
      </c>
      <c r="F17" s="2">
        <v>58</v>
      </c>
      <c r="G17" s="2" t="s">
        <v>35</v>
      </c>
      <c r="H17" s="2" t="s">
        <v>22</v>
      </c>
      <c r="I17" s="2">
        <v>0</v>
      </c>
      <c r="J17" s="2" t="b">
        <v>0</v>
      </c>
      <c r="K17" s="2" t="b">
        <v>1</v>
      </c>
      <c r="L17" s="2" t="s">
        <v>68</v>
      </c>
      <c r="M17" s="5" t="s">
        <v>69</v>
      </c>
      <c r="N17" s="3">
        <v>43683</v>
      </c>
      <c r="O17" s="3">
        <v>43710</v>
      </c>
      <c r="P17" s="2" t="s">
        <v>42</v>
      </c>
      <c r="Q17" s="2" t="s">
        <v>43</v>
      </c>
      <c r="R17" s="2" t="s">
        <v>52</v>
      </c>
      <c r="S17" s="5" t="s">
        <v>53</v>
      </c>
      <c r="T17" s="8" t="s">
        <v>29</v>
      </c>
      <c r="U17" s="2">
        <f t="shared" si="0"/>
        <v>19.605191995673341</v>
      </c>
      <c r="V17" s="4" t="s">
        <v>108</v>
      </c>
      <c r="AA17" s="19"/>
      <c r="AB17" s="19"/>
      <c r="AG17" s="2" t="s">
        <v>71</v>
      </c>
      <c r="AH17" s="2">
        <f>COUNTIF(AQ2:AQ101,"Perfalgan")</f>
        <v>2</v>
      </c>
      <c r="AJ17" s="4">
        <f>[1]données!F17/([1]données!E17/100)^2</f>
        <v>19.605191995673341</v>
      </c>
      <c r="AK17" s="4" t="s">
        <v>108</v>
      </c>
      <c r="AP17" s="2" t="b">
        <v>1</v>
      </c>
      <c r="AQ17" s="2" t="s">
        <v>68</v>
      </c>
    </row>
    <row r="18" spans="1:43" x14ac:dyDescent="0.25">
      <c r="A18" s="7">
        <f t="shared" si="1"/>
        <v>17</v>
      </c>
      <c r="B18" s="2" t="s">
        <v>20</v>
      </c>
      <c r="C18" s="2" t="s">
        <v>21</v>
      </c>
      <c r="D18" s="3">
        <v>29495</v>
      </c>
      <c r="E18" s="2">
        <v>172</v>
      </c>
      <c r="F18" s="2">
        <v>78</v>
      </c>
      <c r="G18" s="2" t="s">
        <v>22</v>
      </c>
      <c r="H18" s="2" t="s">
        <v>22</v>
      </c>
      <c r="I18" s="2">
        <v>0</v>
      </c>
      <c r="J18" s="2" t="b">
        <v>0</v>
      </c>
      <c r="K18" s="2" t="b">
        <v>1</v>
      </c>
      <c r="L18" s="2" t="s">
        <v>70</v>
      </c>
      <c r="M18" s="5" t="s">
        <v>58</v>
      </c>
      <c r="N18" s="3">
        <v>43863</v>
      </c>
      <c r="O18" s="3">
        <v>43878</v>
      </c>
      <c r="P18" s="2" t="s">
        <v>25</v>
      </c>
      <c r="Q18" s="2" t="s">
        <v>43</v>
      </c>
      <c r="R18" s="2" t="s">
        <v>44</v>
      </c>
      <c r="S18" s="5" t="s">
        <v>28</v>
      </c>
      <c r="T18" s="8" t="s">
        <v>29</v>
      </c>
      <c r="U18" s="2">
        <f t="shared" si="0"/>
        <v>26.365603028664147</v>
      </c>
      <c r="V18" s="4" t="s">
        <v>109</v>
      </c>
      <c r="AA18" s="19"/>
      <c r="AB18" s="19"/>
      <c r="AG18" s="2" t="s">
        <v>73</v>
      </c>
      <c r="AH18" s="2">
        <f>COUNTIF(AQ2:AQ101,"Amoxiciline")</f>
        <v>2</v>
      </c>
      <c r="AJ18" s="4">
        <f>[1]données!F18/([1]données!E18/100)^2</f>
        <v>26.365603028664147</v>
      </c>
      <c r="AK18" s="4" t="s">
        <v>109</v>
      </c>
      <c r="AP18" s="2" t="b">
        <v>1</v>
      </c>
      <c r="AQ18" s="2" t="s">
        <v>70</v>
      </c>
    </row>
    <row r="19" spans="1:43" x14ac:dyDescent="0.25">
      <c r="A19" s="7">
        <f t="shared" si="1"/>
        <v>18</v>
      </c>
      <c r="B19" s="2" t="s">
        <v>20</v>
      </c>
      <c r="C19" s="2" t="s">
        <v>21</v>
      </c>
      <c r="D19" s="3">
        <v>32782</v>
      </c>
      <c r="E19" s="2">
        <v>155</v>
      </c>
      <c r="F19" s="2">
        <v>78</v>
      </c>
      <c r="G19" s="2" t="s">
        <v>22</v>
      </c>
      <c r="H19" s="2" t="s">
        <v>35</v>
      </c>
      <c r="I19" s="2">
        <v>0</v>
      </c>
      <c r="J19" s="2" t="b">
        <v>0</v>
      </c>
      <c r="K19" s="2" t="b">
        <v>1</v>
      </c>
      <c r="L19" s="2" t="s">
        <v>71</v>
      </c>
      <c r="M19" s="5" t="s">
        <v>72</v>
      </c>
      <c r="N19" s="3">
        <v>43860</v>
      </c>
      <c r="O19" s="3">
        <v>43895</v>
      </c>
      <c r="P19" s="2" t="s">
        <v>42</v>
      </c>
      <c r="Q19" s="2" t="s">
        <v>43</v>
      </c>
      <c r="R19" s="2" t="s">
        <v>44</v>
      </c>
      <c r="S19" s="5" t="s">
        <v>28</v>
      </c>
      <c r="T19" s="8" t="s">
        <v>29</v>
      </c>
      <c r="U19" s="2">
        <f t="shared" si="0"/>
        <v>32.46618106139438</v>
      </c>
      <c r="V19" s="4" t="s">
        <v>113</v>
      </c>
      <c r="AA19" s="19"/>
      <c r="AB19" s="19"/>
      <c r="AG19" s="2" t="s">
        <v>74</v>
      </c>
      <c r="AH19" s="2">
        <f>COUNTIF(AQ2:AQ101,"Efferalgan")</f>
        <v>1</v>
      </c>
      <c r="AJ19" s="4">
        <f>[1]données!F19/([1]données!E19/100)^2</f>
        <v>32.46618106139438</v>
      </c>
      <c r="AK19" s="4" t="s">
        <v>113</v>
      </c>
      <c r="AP19" s="2" t="b">
        <v>1</v>
      </c>
      <c r="AQ19" s="2" t="s">
        <v>71</v>
      </c>
    </row>
    <row r="20" spans="1:43" x14ac:dyDescent="0.25">
      <c r="A20" s="7">
        <f t="shared" si="1"/>
        <v>19</v>
      </c>
      <c r="B20" s="2" t="s">
        <v>20</v>
      </c>
      <c r="C20" s="2" t="s">
        <v>21</v>
      </c>
      <c r="D20" s="3">
        <v>38626</v>
      </c>
      <c r="E20" s="2">
        <v>162</v>
      </c>
      <c r="F20" s="2">
        <v>78</v>
      </c>
      <c r="G20" s="2" t="s">
        <v>22</v>
      </c>
      <c r="H20" s="2" t="s">
        <v>22</v>
      </c>
      <c r="I20" s="2">
        <v>20</v>
      </c>
      <c r="J20" s="2" t="b">
        <v>0</v>
      </c>
      <c r="K20" s="2" t="b">
        <v>1</v>
      </c>
      <c r="L20" s="2" t="s">
        <v>73</v>
      </c>
      <c r="M20" s="5" t="s">
        <v>37</v>
      </c>
      <c r="N20" s="3">
        <v>43878</v>
      </c>
      <c r="O20" s="3">
        <v>43893</v>
      </c>
      <c r="P20" s="2" t="s">
        <v>38</v>
      </c>
      <c r="Q20" s="2" t="s">
        <v>26</v>
      </c>
      <c r="R20" s="2" t="s">
        <v>27</v>
      </c>
      <c r="S20" s="5" t="s">
        <v>28</v>
      </c>
      <c r="T20" s="8" t="s">
        <v>49</v>
      </c>
      <c r="U20" s="2">
        <f t="shared" si="0"/>
        <v>29.721079103795148</v>
      </c>
      <c r="V20" s="4" t="s">
        <v>109</v>
      </c>
      <c r="AA20" s="19"/>
      <c r="AB20" s="19"/>
      <c r="AG20" s="2" t="s">
        <v>76</v>
      </c>
      <c r="AH20" s="2">
        <f>COUNTIF(AQ2:AQ101,"Dynamogène")</f>
        <v>2</v>
      </c>
      <c r="AJ20" s="4">
        <f>[1]données!F20/([1]données!E20/100)^2</f>
        <v>29.721079103795148</v>
      </c>
      <c r="AK20" s="4" t="s">
        <v>109</v>
      </c>
      <c r="AP20" s="2" t="b">
        <v>1</v>
      </c>
      <c r="AQ20" s="2" t="s">
        <v>73</v>
      </c>
    </row>
    <row r="21" spans="1:43" x14ac:dyDescent="0.25">
      <c r="A21" s="7">
        <f t="shared" si="1"/>
        <v>20</v>
      </c>
      <c r="B21" s="2" t="s">
        <v>20</v>
      </c>
      <c r="C21" s="2" t="s">
        <v>21</v>
      </c>
      <c r="D21" s="3">
        <v>42278</v>
      </c>
      <c r="E21" s="2">
        <v>130</v>
      </c>
      <c r="F21" s="2">
        <v>25</v>
      </c>
      <c r="G21" s="2" t="s">
        <v>22</v>
      </c>
      <c r="H21" s="2" t="s">
        <v>22</v>
      </c>
      <c r="I21" s="2">
        <v>0</v>
      </c>
      <c r="J21" s="2" t="b">
        <v>0</v>
      </c>
      <c r="K21" s="2" t="b">
        <v>1</v>
      </c>
      <c r="L21" s="2" t="s">
        <v>74</v>
      </c>
      <c r="M21" s="5" t="s">
        <v>75</v>
      </c>
      <c r="N21" s="3">
        <v>43831</v>
      </c>
      <c r="O21" s="3">
        <v>43855</v>
      </c>
      <c r="P21" s="2" t="s">
        <v>25</v>
      </c>
      <c r="Q21" s="2" t="s">
        <v>26</v>
      </c>
      <c r="R21" s="2" t="s">
        <v>27</v>
      </c>
      <c r="S21" s="5" t="s">
        <v>28</v>
      </c>
      <c r="T21" s="8" t="s">
        <v>29</v>
      </c>
      <c r="U21" s="2">
        <f t="shared" si="0"/>
        <v>14.792899408284022</v>
      </c>
      <c r="V21" s="4" t="s">
        <v>111</v>
      </c>
      <c r="AA21" s="19"/>
      <c r="AB21" s="19"/>
      <c r="AG21" s="2" t="s">
        <v>77</v>
      </c>
      <c r="AH21" s="2">
        <f>COUNTIF(AQ2:AQ101,"Antadys")</f>
        <v>3</v>
      </c>
      <c r="AJ21" s="4">
        <f>[1]données!F21/([1]données!E21/100)^2</f>
        <v>14.792899408284022</v>
      </c>
      <c r="AK21" s="4" t="s">
        <v>111</v>
      </c>
      <c r="AP21" s="2" t="b">
        <v>1</v>
      </c>
      <c r="AQ21" s="2" t="s">
        <v>74</v>
      </c>
    </row>
    <row r="22" spans="1:43" x14ac:dyDescent="0.25">
      <c r="A22" s="7">
        <f t="shared" si="1"/>
        <v>21</v>
      </c>
      <c r="B22" s="2" t="s">
        <v>39</v>
      </c>
      <c r="C22" s="2" t="s">
        <v>21</v>
      </c>
      <c r="D22" s="3">
        <v>22760</v>
      </c>
      <c r="E22" s="2">
        <v>170</v>
      </c>
      <c r="F22" s="2">
        <v>95</v>
      </c>
      <c r="G22" s="2" t="s">
        <v>22</v>
      </c>
      <c r="H22" s="2" t="s">
        <v>22</v>
      </c>
      <c r="I22" s="2">
        <v>0</v>
      </c>
      <c r="J22" s="2" t="b">
        <v>0</v>
      </c>
      <c r="K22" s="2" t="b">
        <v>1</v>
      </c>
      <c r="L22" s="2" t="s">
        <v>76</v>
      </c>
      <c r="M22" s="5" t="s">
        <v>75</v>
      </c>
      <c r="N22" s="3">
        <v>43521</v>
      </c>
      <c r="O22" s="3">
        <v>43527</v>
      </c>
      <c r="P22" s="2" t="s">
        <v>38</v>
      </c>
      <c r="Q22" s="2" t="s">
        <v>26</v>
      </c>
      <c r="R22" s="2" t="s">
        <v>27</v>
      </c>
      <c r="S22" s="5" t="s">
        <v>28</v>
      </c>
      <c r="T22" s="8" t="s">
        <v>49</v>
      </c>
      <c r="U22" s="2">
        <f t="shared" si="0"/>
        <v>32.871972318339104</v>
      </c>
      <c r="V22" s="4" t="s">
        <v>113</v>
      </c>
      <c r="AA22" s="19"/>
      <c r="AB22" s="19"/>
      <c r="AG22" s="2" t="s">
        <v>79</v>
      </c>
      <c r="AH22" s="2">
        <f>COUNTIF(AQ2:AQ101,"Novalgin")</f>
        <v>1</v>
      </c>
      <c r="AJ22" s="4">
        <f>[1]données!F22/([1]données!E22/100)^2</f>
        <v>32.871972318339104</v>
      </c>
      <c r="AK22" s="4" t="s">
        <v>113</v>
      </c>
      <c r="AP22" s="2" t="b">
        <v>1</v>
      </c>
      <c r="AQ22" s="2" t="s">
        <v>76</v>
      </c>
    </row>
    <row r="23" spans="1:43" x14ac:dyDescent="0.25">
      <c r="A23" s="7">
        <f t="shared" si="1"/>
        <v>22</v>
      </c>
      <c r="B23" s="2" t="s">
        <v>39</v>
      </c>
      <c r="C23" s="2" t="s">
        <v>21</v>
      </c>
      <c r="D23" s="3">
        <v>35544</v>
      </c>
      <c r="E23" s="2">
        <v>170</v>
      </c>
      <c r="F23" s="2">
        <v>55</v>
      </c>
      <c r="G23" s="2" t="s">
        <v>22</v>
      </c>
      <c r="H23" s="2" t="s">
        <v>35</v>
      </c>
      <c r="I23" s="2">
        <v>64</v>
      </c>
      <c r="J23" s="2" t="b">
        <v>0</v>
      </c>
      <c r="K23" s="2" t="b">
        <v>1</v>
      </c>
      <c r="L23" s="2" t="s">
        <v>77</v>
      </c>
      <c r="M23" s="5" t="s">
        <v>78</v>
      </c>
      <c r="N23" s="3">
        <v>43604</v>
      </c>
      <c r="O23" s="3">
        <v>43610</v>
      </c>
      <c r="P23" s="2" t="s">
        <v>38</v>
      </c>
      <c r="Q23" s="2" t="s">
        <v>26</v>
      </c>
      <c r="R23" s="2" t="s">
        <v>44</v>
      </c>
      <c r="S23" s="5" t="s">
        <v>28</v>
      </c>
      <c r="T23" s="8" t="s">
        <v>29</v>
      </c>
      <c r="U23" s="2">
        <f t="shared" si="0"/>
        <v>19.031141868512112</v>
      </c>
      <c r="V23" s="4" t="s">
        <v>108</v>
      </c>
      <c r="AA23" s="19"/>
      <c r="AB23" s="19"/>
      <c r="AG23" s="2" t="s">
        <v>81</v>
      </c>
      <c r="AH23" s="2">
        <f>COUNTIF(AQ2:AQ101,"Sérétide")</f>
        <v>11</v>
      </c>
      <c r="AJ23" s="4">
        <f>[1]données!F23/([1]données!E23/100)^2</f>
        <v>19.031141868512112</v>
      </c>
      <c r="AK23" s="4" t="s">
        <v>108</v>
      </c>
      <c r="AP23" s="2" t="b">
        <v>1</v>
      </c>
      <c r="AQ23" s="2" t="s">
        <v>77</v>
      </c>
    </row>
    <row r="24" spans="1:43" x14ac:dyDescent="0.25">
      <c r="A24" s="7">
        <f t="shared" si="1"/>
        <v>23</v>
      </c>
      <c r="B24" s="2" t="s">
        <v>39</v>
      </c>
      <c r="C24" s="2" t="s">
        <v>21</v>
      </c>
      <c r="D24" s="3">
        <v>35547</v>
      </c>
      <c r="E24" s="2">
        <v>167</v>
      </c>
      <c r="F24" s="2">
        <v>115</v>
      </c>
      <c r="G24" s="2" t="s">
        <v>22</v>
      </c>
      <c r="H24" s="2" t="s">
        <v>35</v>
      </c>
      <c r="I24" s="2">
        <v>6</v>
      </c>
      <c r="J24" s="2" t="b">
        <v>0</v>
      </c>
      <c r="K24" s="2" t="b">
        <v>1</v>
      </c>
      <c r="L24" s="2" t="s">
        <v>79</v>
      </c>
      <c r="M24" s="5" t="s">
        <v>80</v>
      </c>
      <c r="N24" s="3">
        <v>43772</v>
      </c>
      <c r="O24" s="3">
        <v>43837</v>
      </c>
      <c r="P24" s="2" t="s">
        <v>38</v>
      </c>
      <c r="Q24" s="2" t="s">
        <v>43</v>
      </c>
      <c r="R24" s="2" t="s">
        <v>52</v>
      </c>
      <c r="S24" s="5" t="s">
        <v>28</v>
      </c>
      <c r="T24" s="8" t="s">
        <v>45</v>
      </c>
      <c r="U24" s="2">
        <f t="shared" si="0"/>
        <v>41.234895478504072</v>
      </c>
      <c r="V24" s="4" t="s">
        <v>110</v>
      </c>
      <c r="AA24" s="19"/>
      <c r="AB24" s="19"/>
      <c r="AG24" s="2" t="s">
        <v>84</v>
      </c>
      <c r="AH24" s="2">
        <v>1</v>
      </c>
      <c r="AJ24" s="4">
        <f>[1]données!F24/([1]données!E24/100)^2</f>
        <v>41.234895478504072</v>
      </c>
      <c r="AK24" s="4" t="s">
        <v>110</v>
      </c>
      <c r="AP24" s="2" t="b">
        <v>1</v>
      </c>
      <c r="AQ24" s="2" t="s">
        <v>79</v>
      </c>
    </row>
    <row r="25" spans="1:43" x14ac:dyDescent="0.25">
      <c r="A25" s="7">
        <f t="shared" si="1"/>
        <v>24</v>
      </c>
      <c r="B25" s="2" t="s">
        <v>39</v>
      </c>
      <c r="C25" s="2" t="s">
        <v>21</v>
      </c>
      <c r="D25" s="3">
        <v>23859</v>
      </c>
      <c r="E25" s="2">
        <v>186</v>
      </c>
      <c r="F25" s="2">
        <v>115</v>
      </c>
      <c r="G25" s="2" t="s">
        <v>22</v>
      </c>
      <c r="H25" s="2" t="s">
        <v>35</v>
      </c>
      <c r="I25" s="2">
        <v>6</v>
      </c>
      <c r="J25" s="2" t="b">
        <v>0</v>
      </c>
      <c r="K25" s="2" t="b">
        <v>1</v>
      </c>
      <c r="L25" s="2" t="s">
        <v>81</v>
      </c>
      <c r="M25" s="5" t="s">
        <v>47</v>
      </c>
      <c r="N25" s="3">
        <v>43683</v>
      </c>
      <c r="O25" s="3">
        <v>43710</v>
      </c>
      <c r="P25" s="2" t="s">
        <v>38</v>
      </c>
      <c r="Q25" s="2" t="s">
        <v>43</v>
      </c>
      <c r="R25" s="2" t="s">
        <v>44</v>
      </c>
      <c r="S25" s="5" t="s">
        <v>28</v>
      </c>
      <c r="T25" s="8" t="s">
        <v>45</v>
      </c>
      <c r="U25" s="2">
        <f t="shared" si="0"/>
        <v>33.240837090993175</v>
      </c>
      <c r="V25" s="4" t="s">
        <v>113</v>
      </c>
      <c r="AA25" s="19"/>
      <c r="AB25" s="19"/>
      <c r="AG25" s="2" t="s">
        <v>61</v>
      </c>
      <c r="AH25" s="2">
        <v>1</v>
      </c>
      <c r="AJ25" s="4">
        <f>[1]données!F25/([1]données!E25/100)^2</f>
        <v>33.240837090993175</v>
      </c>
      <c r="AK25" s="4" t="s">
        <v>113</v>
      </c>
      <c r="AP25" s="2" t="b">
        <v>1</v>
      </c>
      <c r="AQ25" s="2" t="s">
        <v>81</v>
      </c>
    </row>
    <row r="26" spans="1:43" x14ac:dyDescent="0.25">
      <c r="A26" s="7">
        <f t="shared" si="1"/>
        <v>25</v>
      </c>
      <c r="B26" s="2" t="s">
        <v>39</v>
      </c>
      <c r="C26" s="2" t="s">
        <v>21</v>
      </c>
      <c r="D26" s="3">
        <v>23833</v>
      </c>
      <c r="E26" s="2">
        <v>186</v>
      </c>
      <c r="F26" s="2">
        <v>65</v>
      </c>
      <c r="G26" s="2" t="s">
        <v>22</v>
      </c>
      <c r="H26" s="2" t="s">
        <v>35</v>
      </c>
      <c r="I26" s="2">
        <v>16</v>
      </c>
      <c r="J26" s="2" t="b">
        <v>1</v>
      </c>
      <c r="K26" s="2" t="b">
        <v>1</v>
      </c>
      <c r="L26" s="2" t="s">
        <v>81</v>
      </c>
      <c r="M26" s="5" t="s">
        <v>47</v>
      </c>
      <c r="N26" s="3">
        <v>43863</v>
      </c>
      <c r="O26" s="3">
        <v>43878</v>
      </c>
      <c r="P26" s="2" t="s">
        <v>25</v>
      </c>
      <c r="Q26" s="2" t="s">
        <v>26</v>
      </c>
      <c r="R26" s="2" t="s">
        <v>44</v>
      </c>
      <c r="S26" s="5" t="s">
        <v>28</v>
      </c>
      <c r="T26" s="8" t="s">
        <v>45</v>
      </c>
      <c r="U26" s="2">
        <f t="shared" si="0"/>
        <v>18.78829922534397</v>
      </c>
      <c r="V26" s="4" t="s">
        <v>108</v>
      </c>
      <c r="AA26" s="19"/>
      <c r="AB26" s="19"/>
      <c r="AG26" s="2" t="s">
        <v>87</v>
      </c>
      <c r="AH26" s="2">
        <f>COUNTIF(AQ2:AQ101,"Bipreterax")</f>
        <v>5</v>
      </c>
      <c r="AJ26" s="4">
        <f>[1]données!F26/([1]données!E26/100)^2</f>
        <v>18.78829922534397</v>
      </c>
      <c r="AK26" s="4" t="s">
        <v>108</v>
      </c>
      <c r="AP26" s="2" t="b">
        <v>1</v>
      </c>
      <c r="AQ26" s="2" t="s">
        <v>81</v>
      </c>
    </row>
    <row r="27" spans="1:43" x14ac:dyDescent="0.25">
      <c r="A27" s="7">
        <f t="shared" si="1"/>
        <v>26</v>
      </c>
      <c r="B27" s="2" t="s">
        <v>20</v>
      </c>
      <c r="C27" s="2" t="s">
        <v>30</v>
      </c>
      <c r="D27" s="3">
        <v>19815</v>
      </c>
      <c r="E27" s="2">
        <v>186</v>
      </c>
      <c r="F27" s="2">
        <v>62</v>
      </c>
      <c r="G27" s="2" t="s">
        <v>31</v>
      </c>
      <c r="H27" s="2" t="s">
        <v>35</v>
      </c>
      <c r="I27" s="2">
        <v>1</v>
      </c>
      <c r="J27" s="2" t="b">
        <v>0</v>
      </c>
      <c r="K27" s="2" t="b">
        <v>1</v>
      </c>
      <c r="L27" s="2" t="s">
        <v>36</v>
      </c>
      <c r="M27" s="5" t="s">
        <v>57</v>
      </c>
      <c r="N27" s="3">
        <v>43860</v>
      </c>
      <c r="O27" s="3">
        <v>43895</v>
      </c>
      <c r="P27" s="2" t="s">
        <v>42</v>
      </c>
      <c r="Q27" s="2" t="s">
        <v>26</v>
      </c>
      <c r="R27" s="2" t="s">
        <v>52</v>
      </c>
      <c r="S27" s="5" t="s">
        <v>53</v>
      </c>
      <c r="T27" s="8" t="s">
        <v>45</v>
      </c>
      <c r="U27" s="2">
        <f t="shared" si="0"/>
        <v>17.921146953405014</v>
      </c>
      <c r="V27" s="4" t="s">
        <v>112</v>
      </c>
      <c r="AA27" s="19"/>
      <c r="AB27" s="19"/>
      <c r="AG27" s="2" t="s">
        <v>92</v>
      </c>
      <c r="AH27" s="2">
        <f>COUNTIF(AQ2:AQ101,"Alvityl")</f>
        <v>3</v>
      </c>
      <c r="AJ27" s="4">
        <f>[1]données!F27/([1]données!E27/100)^2</f>
        <v>17.921146953405014</v>
      </c>
      <c r="AK27" s="4" t="s">
        <v>112</v>
      </c>
      <c r="AP27" s="2" t="b">
        <v>1</v>
      </c>
      <c r="AQ27" s="2" t="s">
        <v>36</v>
      </c>
    </row>
    <row r="28" spans="1:43" x14ac:dyDescent="0.25">
      <c r="A28" s="7">
        <f t="shared" si="1"/>
        <v>27</v>
      </c>
      <c r="B28" s="2" t="s">
        <v>20</v>
      </c>
      <c r="C28" s="2" t="s">
        <v>30</v>
      </c>
      <c r="D28" s="3">
        <v>14702</v>
      </c>
      <c r="E28" s="2">
        <v>166</v>
      </c>
      <c r="F28" s="2">
        <v>69</v>
      </c>
      <c r="G28" s="2" t="s">
        <v>31</v>
      </c>
      <c r="H28" s="2" t="s">
        <v>35</v>
      </c>
      <c r="I28" s="2">
        <v>19</v>
      </c>
      <c r="J28" s="2" t="b">
        <v>0</v>
      </c>
      <c r="K28" s="2" t="b">
        <v>1</v>
      </c>
      <c r="L28" s="2" t="s">
        <v>36</v>
      </c>
      <c r="M28" s="5" t="s">
        <v>57</v>
      </c>
      <c r="N28" s="3">
        <v>43772</v>
      </c>
      <c r="O28" s="3">
        <v>43837</v>
      </c>
      <c r="P28" s="2" t="s">
        <v>42</v>
      </c>
      <c r="Q28" s="2" t="s">
        <v>26</v>
      </c>
      <c r="R28" s="2" t="s">
        <v>52</v>
      </c>
      <c r="S28" s="5" t="s">
        <v>82</v>
      </c>
      <c r="T28" s="8" t="s">
        <v>49</v>
      </c>
      <c r="U28" s="2">
        <f t="shared" si="0"/>
        <v>25.039918710988534</v>
      </c>
      <c r="V28" s="4" t="s">
        <v>109</v>
      </c>
      <c r="AA28" s="19"/>
      <c r="AB28" s="19"/>
      <c r="AG28" s="2" t="s">
        <v>91</v>
      </c>
      <c r="AH28" s="2">
        <f>COUNTIF(AQ2:AQ101,"Ilax")</f>
        <v>2</v>
      </c>
      <c r="AJ28" s="4">
        <f>[1]données!F28/([1]données!E28/100)^2</f>
        <v>25.039918710988534</v>
      </c>
      <c r="AK28" s="4" t="s">
        <v>109</v>
      </c>
      <c r="AP28" s="2" t="b">
        <v>1</v>
      </c>
      <c r="AQ28" s="2" t="s">
        <v>36</v>
      </c>
    </row>
    <row r="29" spans="1:43" x14ac:dyDescent="0.25">
      <c r="A29" s="7">
        <f t="shared" si="1"/>
        <v>28</v>
      </c>
      <c r="B29" s="2" t="s">
        <v>20</v>
      </c>
      <c r="C29" s="2" t="s">
        <v>30</v>
      </c>
      <c r="D29" s="3">
        <v>14705</v>
      </c>
      <c r="E29" s="2">
        <v>166</v>
      </c>
      <c r="F29" s="2">
        <v>80</v>
      </c>
      <c r="G29" s="2" t="s">
        <v>31</v>
      </c>
      <c r="H29" s="2" t="s">
        <v>35</v>
      </c>
      <c r="I29" s="2">
        <v>9</v>
      </c>
      <c r="J29" s="2" t="b">
        <v>0</v>
      </c>
      <c r="K29" s="2" t="b">
        <v>1</v>
      </c>
      <c r="L29" s="2" t="s">
        <v>71</v>
      </c>
      <c r="M29" s="5" t="s">
        <v>83</v>
      </c>
      <c r="N29" s="3">
        <v>43878</v>
      </c>
      <c r="O29" s="3">
        <v>43891</v>
      </c>
      <c r="P29" s="2" t="s">
        <v>25</v>
      </c>
      <c r="Q29" s="2" t="s">
        <v>26</v>
      </c>
      <c r="R29" s="2" t="s">
        <v>27</v>
      </c>
      <c r="S29" s="5" t="s">
        <v>48</v>
      </c>
      <c r="T29" s="8" t="s">
        <v>49</v>
      </c>
      <c r="U29" s="2">
        <f t="shared" si="0"/>
        <v>29.031789809841779</v>
      </c>
      <c r="V29" s="4" t="s">
        <v>109</v>
      </c>
      <c r="AA29" s="19"/>
      <c r="AB29" s="19"/>
      <c r="AG29" s="2" t="s">
        <v>93</v>
      </c>
      <c r="AH29" s="2">
        <f>COUNTIF(AQ2:AQ101,"Magnesium")</f>
        <v>1</v>
      </c>
      <c r="AJ29" s="4">
        <f>[1]données!F29/([1]données!E29/100)^2</f>
        <v>29.031789809841779</v>
      </c>
      <c r="AK29" s="4" t="s">
        <v>109</v>
      </c>
      <c r="AP29" s="2" t="b">
        <v>1</v>
      </c>
      <c r="AQ29" s="2" t="s">
        <v>71</v>
      </c>
    </row>
    <row r="30" spans="1:43" x14ac:dyDescent="0.25">
      <c r="A30" s="7">
        <f t="shared" si="1"/>
        <v>29</v>
      </c>
      <c r="B30" s="2" t="s">
        <v>20</v>
      </c>
      <c r="C30" s="2" t="s">
        <v>30</v>
      </c>
      <c r="D30" s="3">
        <v>40272</v>
      </c>
      <c r="E30" s="2">
        <v>155</v>
      </c>
      <c r="F30" s="2">
        <v>101</v>
      </c>
      <c r="G30" s="2" t="s">
        <v>31</v>
      </c>
      <c r="H30" s="2" t="s">
        <v>35</v>
      </c>
      <c r="I30" s="2">
        <v>50</v>
      </c>
      <c r="J30" s="2" t="b">
        <v>0</v>
      </c>
      <c r="K30" s="2" t="b">
        <v>1</v>
      </c>
      <c r="L30" s="2" t="s">
        <v>84</v>
      </c>
      <c r="M30" s="5" t="s">
        <v>85</v>
      </c>
      <c r="N30" s="3">
        <v>43831</v>
      </c>
      <c r="O30" s="3">
        <v>43855</v>
      </c>
      <c r="P30" s="2" t="s">
        <v>25</v>
      </c>
      <c r="Q30" s="2" t="s">
        <v>26</v>
      </c>
      <c r="R30" s="2" t="s">
        <v>27</v>
      </c>
      <c r="S30" s="5" t="s">
        <v>28</v>
      </c>
      <c r="T30" s="8" t="s">
        <v>29</v>
      </c>
      <c r="U30" s="2">
        <f t="shared" si="0"/>
        <v>42.039542143600414</v>
      </c>
      <c r="V30" s="4" t="s">
        <v>110</v>
      </c>
      <c r="AA30" s="19"/>
      <c r="AB30" s="19"/>
      <c r="AG30" s="2" t="s">
        <v>101</v>
      </c>
      <c r="AH30" s="2">
        <f>COUNTIF(AQ2:AQ101,"Litacold")</f>
        <v>3</v>
      </c>
      <c r="AJ30" s="4">
        <f>[1]données!F30/([1]données!E30/100)^2</f>
        <v>42.039542143600414</v>
      </c>
      <c r="AK30" s="4" t="s">
        <v>110</v>
      </c>
      <c r="AP30" s="2" t="b">
        <v>1</v>
      </c>
      <c r="AQ30" s="2" t="s">
        <v>84</v>
      </c>
    </row>
    <row r="31" spans="1:43" x14ac:dyDescent="0.25">
      <c r="A31" s="7">
        <f t="shared" si="1"/>
        <v>30</v>
      </c>
      <c r="B31" s="2" t="s">
        <v>20</v>
      </c>
      <c r="C31" s="2" t="s">
        <v>30</v>
      </c>
      <c r="D31" s="3">
        <v>37557</v>
      </c>
      <c r="E31" s="2">
        <v>170</v>
      </c>
      <c r="F31" s="2">
        <v>46</v>
      </c>
      <c r="G31" s="2" t="s">
        <v>31</v>
      </c>
      <c r="H31" s="2" t="s">
        <v>35</v>
      </c>
      <c r="I31" s="2">
        <v>24</v>
      </c>
      <c r="J31" s="2" t="b">
        <v>0</v>
      </c>
      <c r="K31" s="2" t="b">
        <v>1</v>
      </c>
      <c r="L31" s="2" t="s">
        <v>61</v>
      </c>
      <c r="M31" s="5" t="s">
        <v>60</v>
      </c>
      <c r="N31" s="3">
        <v>43683</v>
      </c>
      <c r="O31" s="3">
        <v>43710</v>
      </c>
      <c r="P31" s="2" t="s">
        <v>38</v>
      </c>
      <c r="Q31" s="2" t="s">
        <v>26</v>
      </c>
      <c r="R31" s="2" t="s">
        <v>44</v>
      </c>
      <c r="S31" s="5" t="s">
        <v>48</v>
      </c>
      <c r="T31" s="8" t="s">
        <v>45</v>
      </c>
      <c r="U31" s="2">
        <f t="shared" si="0"/>
        <v>15.91695501730104</v>
      </c>
      <c r="V31" s="4" t="s">
        <v>111</v>
      </c>
      <c r="AA31" s="19"/>
      <c r="AB31" s="19"/>
      <c r="AJ31" s="4">
        <f>[1]données!F31/([1]données!E31/100)^2</f>
        <v>15.91695501730104</v>
      </c>
      <c r="AK31" s="4" t="s">
        <v>111</v>
      </c>
      <c r="AP31" s="2" t="b">
        <v>1</v>
      </c>
      <c r="AQ31" s="2" t="s">
        <v>61</v>
      </c>
    </row>
    <row r="32" spans="1:43" x14ac:dyDescent="0.25">
      <c r="A32" s="7">
        <f t="shared" si="1"/>
        <v>31</v>
      </c>
      <c r="B32" s="2" t="s">
        <v>20</v>
      </c>
      <c r="C32" s="2" t="s">
        <v>30</v>
      </c>
      <c r="D32" s="3">
        <v>35366</v>
      </c>
      <c r="E32" s="2">
        <v>170</v>
      </c>
      <c r="F32" s="2">
        <v>89</v>
      </c>
      <c r="G32" s="2" t="s">
        <v>31</v>
      </c>
      <c r="H32" s="2" t="s">
        <v>35</v>
      </c>
      <c r="I32" s="2">
        <v>4</v>
      </c>
      <c r="J32" s="2" t="b">
        <v>0</v>
      </c>
      <c r="K32" s="2" t="b">
        <v>1</v>
      </c>
      <c r="L32" s="2" t="s">
        <v>59</v>
      </c>
      <c r="M32" s="5" t="s">
        <v>60</v>
      </c>
      <c r="N32" s="3">
        <v>43604</v>
      </c>
      <c r="O32" s="3">
        <v>43610</v>
      </c>
      <c r="P32" s="2" t="s">
        <v>38</v>
      </c>
      <c r="Q32" s="2" t="s">
        <v>26</v>
      </c>
      <c r="R32" s="2" t="s">
        <v>44</v>
      </c>
      <c r="S32" s="5" t="s">
        <v>86</v>
      </c>
      <c r="T32" s="8" t="s">
        <v>45</v>
      </c>
      <c r="U32" s="2">
        <f t="shared" si="0"/>
        <v>30.795847750865054</v>
      </c>
      <c r="V32" s="4" t="s">
        <v>113</v>
      </c>
      <c r="AA32" s="19"/>
      <c r="AB32" s="19"/>
      <c r="AJ32" s="4">
        <f>[1]données!F32/([1]données!E32/100)^2</f>
        <v>30.795847750865054</v>
      </c>
      <c r="AK32" s="4" t="s">
        <v>113</v>
      </c>
      <c r="AP32" s="2" t="b">
        <v>1</v>
      </c>
      <c r="AQ32" s="2" t="s">
        <v>59</v>
      </c>
    </row>
    <row r="33" spans="1:43" x14ac:dyDescent="0.25">
      <c r="A33" s="7">
        <f t="shared" si="1"/>
        <v>32</v>
      </c>
      <c r="B33" s="2" t="s">
        <v>39</v>
      </c>
      <c r="C33" s="2" t="s">
        <v>21</v>
      </c>
      <c r="D33" s="3">
        <v>33905</v>
      </c>
      <c r="E33" s="2">
        <v>178</v>
      </c>
      <c r="F33" s="2">
        <v>89</v>
      </c>
      <c r="G33" s="2" t="s">
        <v>35</v>
      </c>
      <c r="H33" s="2" t="s">
        <v>22</v>
      </c>
      <c r="I33" s="2">
        <v>40</v>
      </c>
      <c r="J33" s="2" t="b">
        <v>0</v>
      </c>
      <c r="K33" s="2" t="b">
        <v>1</v>
      </c>
      <c r="L33" s="2" t="s">
        <v>36</v>
      </c>
      <c r="M33" s="5" t="s">
        <v>37</v>
      </c>
      <c r="N33" s="3">
        <v>43878</v>
      </c>
      <c r="O33" s="3">
        <v>43893</v>
      </c>
      <c r="P33" s="2" t="s">
        <v>42</v>
      </c>
      <c r="Q33" s="2" t="s">
        <v>26</v>
      </c>
      <c r="R33" s="2" t="s">
        <v>44</v>
      </c>
      <c r="S33" s="5" t="s">
        <v>48</v>
      </c>
      <c r="T33" s="8" t="s">
        <v>45</v>
      </c>
      <c r="U33" s="2">
        <f t="shared" si="0"/>
        <v>28.089887640449437</v>
      </c>
      <c r="V33" s="4" t="s">
        <v>109</v>
      </c>
      <c r="AA33" s="19"/>
      <c r="AB33" s="19"/>
      <c r="AJ33" s="4">
        <f>[1]données!F33/([1]données!E33/100)^2</f>
        <v>28.089887640449437</v>
      </c>
      <c r="AK33" s="4" t="s">
        <v>109</v>
      </c>
      <c r="AP33" s="2" t="b">
        <v>1</v>
      </c>
      <c r="AQ33" s="2" t="s">
        <v>36</v>
      </c>
    </row>
    <row r="34" spans="1:43" x14ac:dyDescent="0.25">
      <c r="A34" s="7">
        <f t="shared" si="1"/>
        <v>33</v>
      </c>
      <c r="B34" s="2" t="s">
        <v>39</v>
      </c>
      <c r="C34" s="2" t="s">
        <v>21</v>
      </c>
      <c r="D34" s="3">
        <v>33795</v>
      </c>
      <c r="E34" s="2">
        <v>178</v>
      </c>
      <c r="F34" s="2">
        <v>54</v>
      </c>
      <c r="G34" s="2" t="s">
        <v>35</v>
      </c>
      <c r="H34" s="2" t="s">
        <v>22</v>
      </c>
      <c r="I34" s="2">
        <v>40</v>
      </c>
      <c r="J34" s="2" t="b">
        <v>1</v>
      </c>
      <c r="K34" s="2" t="b">
        <v>1</v>
      </c>
      <c r="L34" s="2" t="s">
        <v>36</v>
      </c>
      <c r="M34" s="5" t="s">
        <v>37</v>
      </c>
      <c r="N34" s="3">
        <v>43863</v>
      </c>
      <c r="O34" s="3">
        <v>43878</v>
      </c>
      <c r="P34" s="2" t="s">
        <v>42</v>
      </c>
      <c r="Q34" s="2" t="s">
        <v>26</v>
      </c>
      <c r="R34" s="2" t="s">
        <v>44</v>
      </c>
      <c r="S34" s="5" t="s">
        <v>48</v>
      </c>
      <c r="T34" s="8" t="s">
        <v>49</v>
      </c>
      <c r="U34" s="2">
        <f t="shared" ref="U34:U65" si="2">Imc(F34,E34)</f>
        <v>17.043302613306402</v>
      </c>
      <c r="V34" s="4" t="s">
        <v>112</v>
      </c>
      <c r="AA34" s="19"/>
      <c r="AB34" s="19"/>
      <c r="AJ34" s="4">
        <f>[1]données!F34/([1]données!E34/100)^2</f>
        <v>17.043302613306402</v>
      </c>
      <c r="AK34" s="4" t="s">
        <v>112</v>
      </c>
      <c r="AP34" s="2" t="b">
        <v>1</v>
      </c>
      <c r="AQ34" s="2" t="s">
        <v>36</v>
      </c>
    </row>
    <row r="35" spans="1:43" x14ac:dyDescent="0.25">
      <c r="A35" s="7">
        <f t="shared" ref="A35:A66" si="3">1+SUM(A34)</f>
        <v>34</v>
      </c>
      <c r="B35" s="2" t="s">
        <v>39</v>
      </c>
      <c r="C35" s="2" t="s">
        <v>30</v>
      </c>
      <c r="D35" s="3">
        <v>33795</v>
      </c>
      <c r="E35" s="2">
        <v>178</v>
      </c>
      <c r="F35" s="2">
        <v>54</v>
      </c>
      <c r="G35" s="2" t="s">
        <v>31</v>
      </c>
      <c r="H35" s="2" t="s">
        <v>22</v>
      </c>
      <c r="I35" s="2">
        <v>3</v>
      </c>
      <c r="J35" s="2" t="b">
        <v>0</v>
      </c>
      <c r="K35" s="2" t="b">
        <v>1</v>
      </c>
      <c r="L35" s="2" t="s">
        <v>87</v>
      </c>
      <c r="M35" s="5" t="s">
        <v>88</v>
      </c>
      <c r="N35" s="3">
        <v>43521</v>
      </c>
      <c r="O35" s="3">
        <v>43527</v>
      </c>
      <c r="P35" s="2" t="s">
        <v>42</v>
      </c>
      <c r="Q35" s="2" t="s">
        <v>43</v>
      </c>
      <c r="R35" s="2" t="s">
        <v>52</v>
      </c>
      <c r="S35" s="5" t="s">
        <v>48</v>
      </c>
      <c r="T35" s="8" t="s">
        <v>49</v>
      </c>
      <c r="U35" s="2">
        <f t="shared" si="2"/>
        <v>17.043302613306402</v>
      </c>
      <c r="V35" s="4" t="s">
        <v>112</v>
      </c>
      <c r="AA35" s="19"/>
      <c r="AB35" s="19"/>
      <c r="AJ35" s="4">
        <f>[1]données!F35/([1]données!E35/100)^2</f>
        <v>17.043302613306402</v>
      </c>
      <c r="AK35" s="4" t="s">
        <v>112</v>
      </c>
      <c r="AP35" s="2" t="b">
        <v>1</v>
      </c>
      <c r="AQ35" s="2" t="s">
        <v>87</v>
      </c>
    </row>
    <row r="36" spans="1:43" x14ac:dyDescent="0.25">
      <c r="A36" s="7">
        <f t="shared" si="3"/>
        <v>35</v>
      </c>
      <c r="B36" s="2" t="s">
        <v>39</v>
      </c>
      <c r="C36" s="2" t="s">
        <v>30</v>
      </c>
      <c r="D36" s="3">
        <v>33729</v>
      </c>
      <c r="E36" s="2">
        <v>180</v>
      </c>
      <c r="F36" s="2">
        <v>76</v>
      </c>
      <c r="G36" s="2" t="s">
        <v>31</v>
      </c>
      <c r="H36" s="2" t="s">
        <v>22</v>
      </c>
      <c r="I36" s="2">
        <v>34</v>
      </c>
      <c r="J36" s="2" t="b">
        <v>0</v>
      </c>
      <c r="K36" s="2" t="b">
        <v>1</v>
      </c>
      <c r="L36" s="2" t="s">
        <v>55</v>
      </c>
      <c r="M36" s="5" t="s">
        <v>89</v>
      </c>
      <c r="N36" s="3">
        <v>43860</v>
      </c>
      <c r="O36" s="3">
        <v>43895</v>
      </c>
      <c r="P36" s="2" t="s">
        <v>42</v>
      </c>
      <c r="Q36" s="2" t="s">
        <v>43</v>
      </c>
      <c r="R36" s="2" t="s">
        <v>44</v>
      </c>
      <c r="S36" s="5" t="s">
        <v>82</v>
      </c>
      <c r="T36" s="8" t="s">
        <v>29</v>
      </c>
      <c r="U36" s="2">
        <f t="shared" si="2"/>
        <v>23.456790123456788</v>
      </c>
      <c r="V36" s="4" t="s">
        <v>108</v>
      </c>
      <c r="AA36" s="19"/>
      <c r="AB36" s="19"/>
      <c r="AJ36" s="4">
        <f>[1]données!F36/([1]données!E36/100)^2</f>
        <v>23.456790123456788</v>
      </c>
      <c r="AK36" s="4" t="s">
        <v>108</v>
      </c>
      <c r="AP36" s="2" t="b">
        <v>1</v>
      </c>
      <c r="AQ36" s="2" t="s">
        <v>55</v>
      </c>
    </row>
    <row r="37" spans="1:43" x14ac:dyDescent="0.25">
      <c r="A37" s="7">
        <f t="shared" si="3"/>
        <v>36</v>
      </c>
      <c r="B37" s="2" t="s">
        <v>20</v>
      </c>
      <c r="C37" s="2" t="s">
        <v>21</v>
      </c>
      <c r="D37" s="3">
        <v>31902</v>
      </c>
      <c r="E37" s="2">
        <v>180</v>
      </c>
      <c r="F37" s="2">
        <v>103</v>
      </c>
      <c r="G37" s="2" t="s">
        <v>90</v>
      </c>
      <c r="H37" s="2" t="s">
        <v>35</v>
      </c>
      <c r="I37" s="2">
        <v>29</v>
      </c>
      <c r="J37" s="2" t="b">
        <v>0</v>
      </c>
      <c r="K37" s="2" t="b">
        <v>1</v>
      </c>
      <c r="L37" s="2" t="s">
        <v>55</v>
      </c>
      <c r="M37" s="5" t="s">
        <v>89</v>
      </c>
      <c r="N37" s="3">
        <v>43831</v>
      </c>
      <c r="O37" s="3">
        <v>43855</v>
      </c>
      <c r="P37" s="2" t="s">
        <v>42</v>
      </c>
      <c r="Q37" s="2" t="s">
        <v>43</v>
      </c>
      <c r="R37" s="2" t="s">
        <v>44</v>
      </c>
      <c r="S37" s="5" t="s">
        <v>86</v>
      </c>
      <c r="T37" s="8" t="s">
        <v>29</v>
      </c>
      <c r="U37" s="2">
        <f t="shared" si="2"/>
        <v>31.79012345679012</v>
      </c>
      <c r="V37" s="4" t="s">
        <v>113</v>
      </c>
      <c r="AA37" s="19"/>
      <c r="AB37" s="19"/>
      <c r="AJ37" s="4">
        <f>[1]données!F37/([1]données!E37/100)^2</f>
        <v>31.79012345679012</v>
      </c>
      <c r="AK37" s="4" t="s">
        <v>113</v>
      </c>
      <c r="AP37" s="2" t="b">
        <v>1</v>
      </c>
      <c r="AQ37" s="2" t="s">
        <v>55</v>
      </c>
    </row>
    <row r="38" spans="1:43" x14ac:dyDescent="0.25">
      <c r="A38" s="7">
        <f t="shared" si="3"/>
        <v>37</v>
      </c>
      <c r="B38" s="2" t="s">
        <v>20</v>
      </c>
      <c r="C38" s="2" t="s">
        <v>21</v>
      </c>
      <c r="D38" s="3">
        <v>32613</v>
      </c>
      <c r="E38" s="2">
        <v>159</v>
      </c>
      <c r="F38" s="2">
        <v>76</v>
      </c>
      <c r="G38" s="2" t="s">
        <v>90</v>
      </c>
      <c r="H38" s="2" t="s">
        <v>35</v>
      </c>
      <c r="I38" s="2">
        <v>0</v>
      </c>
      <c r="J38" s="2" t="b">
        <v>0</v>
      </c>
      <c r="K38" s="2" t="b">
        <v>1</v>
      </c>
      <c r="L38" s="2" t="s">
        <v>91</v>
      </c>
      <c r="M38" s="5" t="s">
        <v>63</v>
      </c>
      <c r="N38" s="3">
        <v>43878</v>
      </c>
      <c r="O38" s="3">
        <v>43891</v>
      </c>
      <c r="P38" s="2" t="s">
        <v>42</v>
      </c>
      <c r="Q38" s="2" t="s">
        <v>43</v>
      </c>
      <c r="R38" s="2" t="s">
        <v>44</v>
      </c>
      <c r="S38" s="5" t="s">
        <v>28</v>
      </c>
      <c r="T38" s="8" t="s">
        <v>29</v>
      </c>
      <c r="U38" s="2">
        <f t="shared" si="2"/>
        <v>30.062101973814325</v>
      </c>
      <c r="V38" s="4" t="s">
        <v>113</v>
      </c>
      <c r="AA38" s="19"/>
      <c r="AB38" s="19"/>
      <c r="AJ38" s="4">
        <f>[1]données!F38/([1]données!E38/100)^2</f>
        <v>30.062101973814325</v>
      </c>
      <c r="AK38" s="4" t="s">
        <v>113</v>
      </c>
      <c r="AP38" s="2" t="b">
        <v>1</v>
      </c>
      <c r="AQ38" s="2" t="s">
        <v>91</v>
      </c>
    </row>
    <row r="39" spans="1:43" x14ac:dyDescent="0.25">
      <c r="A39" s="7">
        <f t="shared" si="3"/>
        <v>38</v>
      </c>
      <c r="B39" s="2" t="s">
        <v>20</v>
      </c>
      <c r="C39" s="2" t="s">
        <v>21</v>
      </c>
      <c r="D39" s="3">
        <v>32617</v>
      </c>
      <c r="E39" s="2">
        <v>178</v>
      </c>
      <c r="F39" s="2">
        <v>90</v>
      </c>
      <c r="G39" s="2" t="s">
        <v>22</v>
      </c>
      <c r="H39" s="2" t="s">
        <v>35</v>
      </c>
      <c r="I39" s="2">
        <v>40</v>
      </c>
      <c r="J39" s="2" t="b">
        <v>0</v>
      </c>
      <c r="K39" s="2" t="b">
        <v>1</v>
      </c>
      <c r="L39" s="2" t="s">
        <v>32</v>
      </c>
      <c r="M39" s="5" t="s">
        <v>75</v>
      </c>
      <c r="N39" s="3">
        <v>43878</v>
      </c>
      <c r="O39" s="3">
        <v>43893</v>
      </c>
      <c r="P39" s="2" t="s">
        <v>25</v>
      </c>
      <c r="Q39" s="2" t="s">
        <v>26</v>
      </c>
      <c r="R39" s="2" t="s">
        <v>27</v>
      </c>
      <c r="S39" s="5" t="s">
        <v>28</v>
      </c>
      <c r="T39" s="8" t="s">
        <v>29</v>
      </c>
      <c r="U39" s="2">
        <f t="shared" si="2"/>
        <v>28.405504355510669</v>
      </c>
      <c r="V39" s="4" t="s">
        <v>109</v>
      </c>
      <c r="AA39" s="19"/>
      <c r="AB39" s="19"/>
      <c r="AJ39" s="4">
        <f>[1]données!F39/([1]données!E39/100)^2</f>
        <v>28.405504355510669</v>
      </c>
      <c r="AK39" s="4" t="s">
        <v>109</v>
      </c>
      <c r="AP39" s="2" t="b">
        <v>1</v>
      </c>
      <c r="AQ39" s="2" t="s">
        <v>32</v>
      </c>
    </row>
    <row r="40" spans="1:43" x14ac:dyDescent="0.25">
      <c r="A40" s="7">
        <f t="shared" si="3"/>
        <v>39</v>
      </c>
      <c r="B40" s="2" t="s">
        <v>39</v>
      </c>
      <c r="C40" s="2" t="s">
        <v>30</v>
      </c>
      <c r="D40" s="3">
        <v>25677</v>
      </c>
      <c r="E40" s="2">
        <v>178</v>
      </c>
      <c r="F40" s="2">
        <v>96</v>
      </c>
      <c r="G40" s="2" t="s">
        <v>31</v>
      </c>
      <c r="H40" s="2" t="s">
        <v>35</v>
      </c>
      <c r="I40" s="2">
        <v>46</v>
      </c>
      <c r="J40" s="2" t="b">
        <v>0</v>
      </c>
      <c r="K40" s="2" t="b">
        <v>1</v>
      </c>
      <c r="L40" s="2" t="s">
        <v>87</v>
      </c>
      <c r="M40" s="5" t="s">
        <v>78</v>
      </c>
      <c r="N40" s="3">
        <v>43772</v>
      </c>
      <c r="O40" s="3">
        <v>43837</v>
      </c>
      <c r="P40" s="2" t="s">
        <v>42</v>
      </c>
      <c r="Q40" s="2" t="s">
        <v>43</v>
      </c>
      <c r="R40" s="2" t="s">
        <v>44</v>
      </c>
      <c r="S40" s="5" t="s">
        <v>82</v>
      </c>
      <c r="T40" s="8" t="s">
        <v>49</v>
      </c>
      <c r="U40" s="2">
        <f t="shared" si="2"/>
        <v>30.299204645878046</v>
      </c>
      <c r="V40" s="4" t="s">
        <v>113</v>
      </c>
      <c r="AA40" s="19"/>
      <c r="AB40" s="19"/>
      <c r="AJ40" s="4">
        <f>[1]données!F40/([1]données!E40/100)^2</f>
        <v>30.299204645878046</v>
      </c>
      <c r="AK40" s="4" t="s">
        <v>113</v>
      </c>
      <c r="AP40" s="2" t="b">
        <v>1</v>
      </c>
      <c r="AQ40" s="2" t="s">
        <v>87</v>
      </c>
    </row>
    <row r="41" spans="1:43" x14ac:dyDescent="0.25">
      <c r="A41" s="7">
        <f t="shared" si="3"/>
        <v>40</v>
      </c>
      <c r="B41" s="2" t="s">
        <v>39</v>
      </c>
      <c r="C41" s="2" t="s">
        <v>30</v>
      </c>
      <c r="D41" s="3">
        <v>20564</v>
      </c>
      <c r="E41" s="2">
        <v>178</v>
      </c>
      <c r="F41" s="2">
        <v>87</v>
      </c>
      <c r="G41" s="2" t="s">
        <v>31</v>
      </c>
      <c r="H41" s="2" t="s">
        <v>35</v>
      </c>
      <c r="I41" s="2">
        <v>0</v>
      </c>
      <c r="J41" s="2" t="b">
        <v>0</v>
      </c>
      <c r="K41" s="2" t="b">
        <v>1</v>
      </c>
      <c r="L41" s="2" t="s">
        <v>87</v>
      </c>
      <c r="M41" s="5" t="s">
        <v>78</v>
      </c>
      <c r="N41" s="3">
        <v>43683</v>
      </c>
      <c r="O41" s="3">
        <v>43710</v>
      </c>
      <c r="P41" s="2" t="s">
        <v>42</v>
      </c>
      <c r="Q41" s="2" t="s">
        <v>43</v>
      </c>
      <c r="R41" s="2" t="s">
        <v>34</v>
      </c>
      <c r="S41" s="5" t="s">
        <v>48</v>
      </c>
      <c r="T41" s="8" t="s">
        <v>29</v>
      </c>
      <c r="U41" s="2">
        <f t="shared" si="2"/>
        <v>27.458654210326976</v>
      </c>
      <c r="V41" s="4" t="s">
        <v>109</v>
      </c>
      <c r="AA41" s="19"/>
      <c r="AB41" s="19"/>
      <c r="AJ41" s="4">
        <f>[1]données!F41/([1]données!E41/100)^2</f>
        <v>27.458654210326976</v>
      </c>
      <c r="AK41" s="4" t="s">
        <v>109</v>
      </c>
      <c r="AP41" s="2" t="b">
        <v>1</v>
      </c>
      <c r="AQ41" s="2" t="s">
        <v>87</v>
      </c>
    </row>
    <row r="42" spans="1:43" x14ac:dyDescent="0.25">
      <c r="A42" s="7">
        <f t="shared" si="3"/>
        <v>41</v>
      </c>
      <c r="B42" s="2" t="s">
        <v>39</v>
      </c>
      <c r="C42" s="2" t="s">
        <v>21</v>
      </c>
      <c r="D42" s="3">
        <v>17642</v>
      </c>
      <c r="E42" s="2">
        <v>178</v>
      </c>
      <c r="F42" s="2">
        <v>62</v>
      </c>
      <c r="G42" s="2" t="s">
        <v>22</v>
      </c>
      <c r="H42" s="2" t="s">
        <v>35</v>
      </c>
      <c r="I42" s="2">
        <v>65</v>
      </c>
      <c r="J42" s="2" t="b">
        <v>0</v>
      </c>
      <c r="K42" s="2" t="b">
        <v>1</v>
      </c>
      <c r="L42" s="2" t="s">
        <v>92</v>
      </c>
      <c r="M42" s="5" t="s">
        <v>63</v>
      </c>
      <c r="N42" s="3">
        <v>43604</v>
      </c>
      <c r="O42" s="3">
        <v>43610</v>
      </c>
      <c r="P42" s="2" t="s">
        <v>42</v>
      </c>
      <c r="Q42" s="2" t="s">
        <v>43</v>
      </c>
      <c r="R42" s="2" t="s">
        <v>52</v>
      </c>
      <c r="S42" s="5" t="s">
        <v>53</v>
      </c>
      <c r="T42" s="8" t="s">
        <v>45</v>
      </c>
      <c r="U42" s="2">
        <f t="shared" si="2"/>
        <v>19.568236333796236</v>
      </c>
      <c r="V42" s="4" t="s">
        <v>108</v>
      </c>
      <c r="AA42" s="19"/>
      <c r="AB42" s="19"/>
      <c r="AJ42" s="4">
        <f>[1]données!F42/([1]données!E42/100)^2</f>
        <v>19.568236333796236</v>
      </c>
      <c r="AK42" s="4" t="s">
        <v>108</v>
      </c>
      <c r="AP42" s="2" t="b">
        <v>1</v>
      </c>
      <c r="AQ42" s="2" t="s">
        <v>92</v>
      </c>
    </row>
    <row r="43" spans="1:43" x14ac:dyDescent="0.25">
      <c r="A43" s="7">
        <f t="shared" si="3"/>
        <v>42</v>
      </c>
      <c r="B43" s="2" t="s">
        <v>39</v>
      </c>
      <c r="C43" s="2" t="s">
        <v>21</v>
      </c>
      <c r="D43" s="3">
        <v>19205</v>
      </c>
      <c r="E43" s="2">
        <v>179</v>
      </c>
      <c r="F43" s="2">
        <v>68</v>
      </c>
      <c r="G43" s="2" t="s">
        <v>22</v>
      </c>
      <c r="H43" s="2" t="s">
        <v>35</v>
      </c>
      <c r="I43" s="2">
        <v>5</v>
      </c>
      <c r="J43" s="2" t="b">
        <v>0</v>
      </c>
      <c r="K43" s="2" t="b">
        <v>1</v>
      </c>
      <c r="L43" s="2" t="s">
        <v>93</v>
      </c>
      <c r="M43" s="5" t="s">
        <v>94</v>
      </c>
      <c r="N43" s="3">
        <v>43863</v>
      </c>
      <c r="O43" s="3">
        <v>43878</v>
      </c>
      <c r="P43" s="2" t="s">
        <v>42</v>
      </c>
      <c r="Q43" s="2" t="s">
        <v>26</v>
      </c>
      <c r="R43" s="2" t="s">
        <v>34</v>
      </c>
      <c r="S43" s="5" t="s">
        <v>28</v>
      </c>
      <c r="T43" s="8" t="s">
        <v>49</v>
      </c>
      <c r="U43" s="2">
        <f t="shared" si="2"/>
        <v>21.222808276895229</v>
      </c>
      <c r="V43" s="4" t="s">
        <v>108</v>
      </c>
      <c r="AA43" s="19"/>
      <c r="AB43" s="19"/>
      <c r="AJ43" s="4">
        <f>[1]données!F43/([1]données!E43/100)^2</f>
        <v>21.222808276895229</v>
      </c>
      <c r="AK43" s="4" t="s">
        <v>108</v>
      </c>
      <c r="AP43" s="2" t="b">
        <v>1</v>
      </c>
      <c r="AQ43" s="2" t="s">
        <v>93</v>
      </c>
    </row>
    <row r="44" spans="1:43" x14ac:dyDescent="0.25">
      <c r="A44" s="7">
        <f t="shared" si="3"/>
        <v>43</v>
      </c>
      <c r="B44" s="2" t="s">
        <v>39</v>
      </c>
      <c r="C44" s="2" t="s">
        <v>21</v>
      </c>
      <c r="D44" s="3">
        <v>36191</v>
      </c>
      <c r="E44" s="2">
        <v>196</v>
      </c>
      <c r="F44" s="2">
        <v>65</v>
      </c>
      <c r="G44" s="2" t="s">
        <v>22</v>
      </c>
      <c r="H44" s="2" t="s">
        <v>35</v>
      </c>
      <c r="I44" s="2">
        <v>15</v>
      </c>
      <c r="J44" s="2" t="b">
        <v>0</v>
      </c>
      <c r="K44" s="2" t="b">
        <v>1</v>
      </c>
      <c r="L44" s="2" t="s">
        <v>46</v>
      </c>
      <c r="M44" s="5" t="s">
        <v>75</v>
      </c>
      <c r="N44" s="3">
        <v>43860</v>
      </c>
      <c r="O44" s="3">
        <v>43895</v>
      </c>
      <c r="P44" s="2" t="s">
        <v>25</v>
      </c>
      <c r="Q44" s="2" t="s">
        <v>26</v>
      </c>
      <c r="R44" s="2" t="s">
        <v>27</v>
      </c>
      <c r="S44" s="5" t="s">
        <v>28</v>
      </c>
      <c r="T44" s="8" t="s">
        <v>29</v>
      </c>
      <c r="U44" s="2">
        <f t="shared" si="2"/>
        <v>16.92003331945023</v>
      </c>
      <c r="V44" s="4" t="s">
        <v>112</v>
      </c>
      <c r="AA44" s="19"/>
      <c r="AB44" s="19"/>
      <c r="AJ44" s="4">
        <f>[1]données!F44/([1]données!E44/100)^2</f>
        <v>16.92003331945023</v>
      </c>
      <c r="AK44" s="4" t="s">
        <v>112</v>
      </c>
      <c r="AP44" s="2" t="b">
        <v>1</v>
      </c>
      <c r="AQ44" s="2" t="s">
        <v>46</v>
      </c>
    </row>
    <row r="45" spans="1:43" x14ac:dyDescent="0.25">
      <c r="A45" s="7">
        <f t="shared" si="3"/>
        <v>44</v>
      </c>
      <c r="B45" s="2" t="s">
        <v>39</v>
      </c>
      <c r="C45" s="2" t="s">
        <v>21</v>
      </c>
      <c r="D45" s="3">
        <v>20965</v>
      </c>
      <c r="E45" s="2">
        <v>161</v>
      </c>
      <c r="F45" s="2">
        <v>65</v>
      </c>
      <c r="G45" s="2" t="s">
        <v>22</v>
      </c>
      <c r="H45" s="2" t="s">
        <v>35</v>
      </c>
      <c r="I45" s="2">
        <v>13</v>
      </c>
      <c r="J45" s="2" t="b">
        <v>1</v>
      </c>
      <c r="K45" s="2" t="b">
        <v>1</v>
      </c>
      <c r="L45" s="2" t="s">
        <v>46</v>
      </c>
      <c r="M45" s="5" t="s">
        <v>72</v>
      </c>
      <c r="N45" s="3">
        <v>43878</v>
      </c>
      <c r="O45" s="3">
        <v>43893</v>
      </c>
      <c r="P45" s="2" t="s">
        <v>38</v>
      </c>
      <c r="Q45" s="2" t="s">
        <v>26</v>
      </c>
      <c r="R45" s="2" t="s">
        <v>34</v>
      </c>
      <c r="S45" s="5" t="s">
        <v>28</v>
      </c>
      <c r="T45" s="8" t="s">
        <v>29</v>
      </c>
      <c r="U45" s="2">
        <f t="shared" si="2"/>
        <v>25.076193048107708</v>
      </c>
      <c r="V45" s="4" t="s">
        <v>109</v>
      </c>
      <c r="AA45" s="19"/>
      <c r="AB45" s="19"/>
      <c r="AJ45" s="4">
        <f>[1]données!F45/([1]données!E45/100)^2</f>
        <v>25.076193048107708</v>
      </c>
      <c r="AK45" s="4" t="s">
        <v>109</v>
      </c>
      <c r="AP45" s="2" t="b">
        <v>1</v>
      </c>
      <c r="AQ45" s="2" t="s">
        <v>46</v>
      </c>
    </row>
    <row r="46" spans="1:43" x14ac:dyDescent="0.25">
      <c r="A46" s="7">
        <f t="shared" si="3"/>
        <v>45</v>
      </c>
      <c r="B46" s="2" t="s">
        <v>39</v>
      </c>
      <c r="C46" s="2" t="s">
        <v>21</v>
      </c>
      <c r="D46" s="3">
        <v>34824</v>
      </c>
      <c r="E46" s="2">
        <v>161</v>
      </c>
      <c r="F46" s="2">
        <v>76</v>
      </c>
      <c r="G46" s="2" t="s">
        <v>22</v>
      </c>
      <c r="H46" s="2" t="s">
        <v>35</v>
      </c>
      <c r="I46" s="2">
        <v>10</v>
      </c>
      <c r="J46" s="2" t="b">
        <v>1</v>
      </c>
      <c r="K46" s="2" t="b">
        <v>1</v>
      </c>
      <c r="L46" s="2" t="s">
        <v>55</v>
      </c>
      <c r="M46" s="5" t="s">
        <v>95</v>
      </c>
      <c r="N46" s="3">
        <v>43831</v>
      </c>
      <c r="O46" s="3">
        <v>43855</v>
      </c>
      <c r="P46" s="2" t="s">
        <v>38</v>
      </c>
      <c r="Q46" s="2" t="s">
        <v>26</v>
      </c>
      <c r="R46" s="2" t="s">
        <v>34</v>
      </c>
      <c r="S46" s="5" t="s">
        <v>28</v>
      </c>
      <c r="T46" s="8" t="s">
        <v>29</v>
      </c>
      <c r="U46" s="2">
        <f t="shared" si="2"/>
        <v>29.319856487018246</v>
      </c>
      <c r="V46" s="4" t="s">
        <v>109</v>
      </c>
      <c r="AA46" s="19"/>
      <c r="AB46" s="19"/>
      <c r="AJ46" s="4">
        <f>[1]données!F46/([1]données!E46/100)^2</f>
        <v>29.319856487018246</v>
      </c>
      <c r="AK46" s="4" t="s">
        <v>109</v>
      </c>
      <c r="AP46" s="2" t="b">
        <v>1</v>
      </c>
      <c r="AQ46" s="2" t="s">
        <v>55</v>
      </c>
    </row>
    <row r="47" spans="1:43" x14ac:dyDescent="0.25">
      <c r="A47" s="7">
        <f t="shared" si="3"/>
        <v>46</v>
      </c>
      <c r="B47" s="2" t="s">
        <v>20</v>
      </c>
      <c r="C47" s="2" t="s">
        <v>30</v>
      </c>
      <c r="D47" s="3">
        <v>34460</v>
      </c>
      <c r="E47" s="2">
        <v>171</v>
      </c>
      <c r="F47" s="2">
        <v>76</v>
      </c>
      <c r="G47" s="2" t="s">
        <v>31</v>
      </c>
      <c r="H47" s="2" t="s">
        <v>35</v>
      </c>
      <c r="I47" s="2">
        <v>10</v>
      </c>
      <c r="J47" s="2" t="b">
        <v>1</v>
      </c>
      <c r="K47" s="2" t="b">
        <v>1</v>
      </c>
      <c r="L47" s="2" t="s">
        <v>55</v>
      </c>
      <c r="M47" s="5" t="s">
        <v>95</v>
      </c>
      <c r="N47" s="3">
        <v>43521</v>
      </c>
      <c r="O47" s="3">
        <v>43527</v>
      </c>
      <c r="P47" s="2" t="s">
        <v>38</v>
      </c>
      <c r="Q47" s="2" t="s">
        <v>26</v>
      </c>
      <c r="R47" s="2" t="s">
        <v>34</v>
      </c>
      <c r="S47" s="5" t="s">
        <v>48</v>
      </c>
      <c r="T47" s="8" t="s">
        <v>29</v>
      </c>
      <c r="U47" s="2">
        <f t="shared" si="2"/>
        <v>25.990903183885642</v>
      </c>
      <c r="V47" s="4" t="s">
        <v>109</v>
      </c>
      <c r="AA47" s="19"/>
      <c r="AB47" s="19"/>
      <c r="AJ47" s="4">
        <f>[1]données!F47/([1]données!E47/100)^2</f>
        <v>25.990903183885642</v>
      </c>
      <c r="AK47" s="4" t="s">
        <v>109</v>
      </c>
      <c r="AP47" s="2" t="b">
        <v>1</v>
      </c>
      <c r="AQ47" s="2" t="s">
        <v>55</v>
      </c>
    </row>
    <row r="48" spans="1:43" x14ac:dyDescent="0.25">
      <c r="A48" s="7">
        <f t="shared" si="3"/>
        <v>47</v>
      </c>
      <c r="B48" s="2" t="s">
        <v>20</v>
      </c>
      <c r="C48" s="2" t="s">
        <v>30</v>
      </c>
      <c r="D48" s="3">
        <v>33001</v>
      </c>
      <c r="E48" s="2">
        <v>171</v>
      </c>
      <c r="F48" s="2">
        <v>86</v>
      </c>
      <c r="G48" s="2" t="s">
        <v>31</v>
      </c>
      <c r="H48" s="2" t="s">
        <v>22</v>
      </c>
      <c r="I48" s="2">
        <v>19</v>
      </c>
      <c r="J48" s="2" t="b">
        <v>0</v>
      </c>
      <c r="K48" s="2" t="b">
        <v>1</v>
      </c>
      <c r="L48" s="2" t="s">
        <v>55</v>
      </c>
      <c r="M48" s="5" t="s">
        <v>96</v>
      </c>
      <c r="N48" s="3">
        <v>43604</v>
      </c>
      <c r="O48" s="3">
        <v>43610</v>
      </c>
      <c r="P48" s="2" t="s">
        <v>42</v>
      </c>
      <c r="Q48" s="2" t="s">
        <v>43</v>
      </c>
      <c r="R48" s="2" t="s">
        <v>44</v>
      </c>
      <c r="S48" s="5" t="s">
        <v>48</v>
      </c>
      <c r="T48" s="8" t="s">
        <v>49</v>
      </c>
      <c r="U48" s="2">
        <f t="shared" si="2"/>
        <v>29.410758865975858</v>
      </c>
      <c r="V48" s="4" t="s">
        <v>109</v>
      </c>
      <c r="AA48" s="19"/>
      <c r="AB48" s="19"/>
      <c r="AJ48" s="4">
        <f>[1]données!F48/([1]données!E48/100)^2</f>
        <v>29.410758865975858</v>
      </c>
      <c r="AK48" s="4" t="s">
        <v>109</v>
      </c>
      <c r="AP48" s="2" t="b">
        <v>1</v>
      </c>
      <c r="AQ48" s="2" t="s">
        <v>55</v>
      </c>
    </row>
    <row r="49" spans="1:43" x14ac:dyDescent="0.25">
      <c r="A49" s="7">
        <f t="shared" si="3"/>
        <v>48</v>
      </c>
      <c r="B49" s="2" t="s">
        <v>39</v>
      </c>
      <c r="C49" s="2" t="s">
        <v>21</v>
      </c>
      <c r="D49" s="3">
        <v>33011</v>
      </c>
      <c r="E49" s="2">
        <v>191</v>
      </c>
      <c r="F49" s="2">
        <v>80</v>
      </c>
      <c r="G49" s="2" t="s">
        <v>35</v>
      </c>
      <c r="H49" s="2" t="s">
        <v>35</v>
      </c>
      <c r="I49" s="2">
        <v>9</v>
      </c>
      <c r="J49" s="2" t="b">
        <v>0</v>
      </c>
      <c r="K49" s="2" t="b">
        <v>1</v>
      </c>
      <c r="L49" s="2" t="s">
        <v>64</v>
      </c>
      <c r="M49" s="5" t="s">
        <v>96</v>
      </c>
      <c r="N49" s="3">
        <v>43772</v>
      </c>
      <c r="O49" s="3">
        <v>43837</v>
      </c>
      <c r="P49" s="2" t="s">
        <v>42</v>
      </c>
      <c r="Q49" s="2" t="s">
        <v>26</v>
      </c>
      <c r="R49" s="2" t="s">
        <v>44</v>
      </c>
      <c r="S49" s="5" t="s">
        <v>28</v>
      </c>
      <c r="T49" s="8" t="s">
        <v>49</v>
      </c>
      <c r="U49" s="2">
        <f t="shared" si="2"/>
        <v>21.929223431375238</v>
      </c>
      <c r="V49" s="4" t="s">
        <v>108</v>
      </c>
      <c r="AA49" s="19"/>
      <c r="AB49" s="19"/>
      <c r="AJ49" s="4">
        <f>[1]données!F49/([1]données!E49/100)^2</f>
        <v>21.929223431375238</v>
      </c>
      <c r="AK49" s="4" t="s">
        <v>108</v>
      </c>
      <c r="AP49" s="2" t="b">
        <v>1</v>
      </c>
      <c r="AQ49" s="2" t="s">
        <v>64</v>
      </c>
    </row>
    <row r="50" spans="1:43" x14ac:dyDescent="0.25">
      <c r="A50" s="7">
        <f t="shared" si="3"/>
        <v>49</v>
      </c>
      <c r="B50" s="2" t="s">
        <v>39</v>
      </c>
      <c r="C50" s="2" t="s">
        <v>30</v>
      </c>
      <c r="D50" s="3">
        <v>33195</v>
      </c>
      <c r="E50" s="2">
        <v>191</v>
      </c>
      <c r="F50" s="2">
        <v>87</v>
      </c>
      <c r="G50" s="2" t="s">
        <v>31</v>
      </c>
      <c r="H50" s="2" t="s">
        <v>35</v>
      </c>
      <c r="I50" s="2">
        <v>0</v>
      </c>
      <c r="J50" s="2" t="b">
        <v>0</v>
      </c>
      <c r="K50" s="2" t="b">
        <v>1</v>
      </c>
      <c r="L50" s="2" t="s">
        <v>97</v>
      </c>
      <c r="M50" s="5" t="s">
        <v>54</v>
      </c>
      <c r="N50" s="3">
        <v>43860</v>
      </c>
      <c r="O50" s="3" t="s">
        <v>98</v>
      </c>
      <c r="P50" s="2" t="s">
        <v>42</v>
      </c>
      <c r="Q50" s="2" t="s">
        <v>43</v>
      </c>
      <c r="R50" s="2" t="s">
        <v>44</v>
      </c>
      <c r="S50" s="5" t="s">
        <v>99</v>
      </c>
      <c r="T50" s="8" t="s">
        <v>45</v>
      </c>
      <c r="U50" s="2">
        <f t="shared" si="2"/>
        <v>23.848030481620569</v>
      </c>
      <c r="V50" s="4" t="s">
        <v>108</v>
      </c>
      <c r="AA50" s="19"/>
      <c r="AB50" s="19"/>
      <c r="AJ50" s="4">
        <f>[1]données!F50/([1]données!E50/100)^2</f>
        <v>23.848030481620569</v>
      </c>
      <c r="AK50" s="4" t="s">
        <v>108</v>
      </c>
      <c r="AP50" s="2" t="b">
        <v>1</v>
      </c>
      <c r="AQ50" s="2" t="s">
        <v>97</v>
      </c>
    </row>
    <row r="51" spans="1:43" x14ac:dyDescent="0.25">
      <c r="A51" s="7">
        <f t="shared" si="3"/>
        <v>50</v>
      </c>
      <c r="B51" s="2" t="s">
        <v>20</v>
      </c>
      <c r="C51" s="2" t="s">
        <v>21</v>
      </c>
      <c r="D51" s="3">
        <v>33203</v>
      </c>
      <c r="E51" s="2">
        <v>167</v>
      </c>
      <c r="F51" s="2">
        <v>87</v>
      </c>
      <c r="G51" s="2" t="s">
        <v>35</v>
      </c>
      <c r="H51" s="2" t="s">
        <v>35</v>
      </c>
      <c r="I51" s="2">
        <v>30</v>
      </c>
      <c r="J51" s="2" t="b">
        <v>0</v>
      </c>
      <c r="K51" s="2" t="b">
        <v>1</v>
      </c>
      <c r="L51" s="2" t="s">
        <v>77</v>
      </c>
      <c r="M51" s="5" t="s">
        <v>58</v>
      </c>
      <c r="N51" s="3">
        <v>43863</v>
      </c>
      <c r="O51" s="3">
        <v>43878</v>
      </c>
      <c r="P51" s="2" t="s">
        <v>25</v>
      </c>
      <c r="Q51" s="2" t="s">
        <v>26</v>
      </c>
      <c r="R51" s="2" t="s">
        <v>27</v>
      </c>
      <c r="S51" s="5" t="s">
        <v>28</v>
      </c>
      <c r="T51" s="8" t="s">
        <v>49</v>
      </c>
      <c r="U51" s="2">
        <f t="shared" si="2"/>
        <v>31.1950948402596</v>
      </c>
      <c r="V51" s="4" t="s">
        <v>113</v>
      </c>
      <c r="AA51" s="19"/>
      <c r="AB51" s="19"/>
      <c r="AJ51" s="4">
        <f>[1]données!F51/([1]données!E51/100)^2</f>
        <v>31.1950948402596</v>
      </c>
      <c r="AK51" s="4" t="s">
        <v>113</v>
      </c>
      <c r="AP51" s="2" t="b">
        <v>1</v>
      </c>
      <c r="AQ51" s="2" t="s">
        <v>77</v>
      </c>
    </row>
    <row r="52" spans="1:43" x14ac:dyDescent="0.25">
      <c r="A52" s="7">
        <f t="shared" si="3"/>
        <v>51</v>
      </c>
      <c r="B52" s="2" t="s">
        <v>20</v>
      </c>
      <c r="C52" s="2" t="s">
        <v>21</v>
      </c>
      <c r="D52" s="3">
        <v>43485</v>
      </c>
      <c r="E52" s="2">
        <v>120</v>
      </c>
      <c r="F52" s="2">
        <v>20</v>
      </c>
      <c r="G52" s="2" t="s">
        <v>22</v>
      </c>
      <c r="H52" s="2" t="s">
        <v>35</v>
      </c>
      <c r="I52" s="2">
        <v>20</v>
      </c>
      <c r="J52" s="2" t="b">
        <v>0</v>
      </c>
      <c r="K52" s="2" t="b">
        <v>1</v>
      </c>
      <c r="L52" s="2" t="s">
        <v>40</v>
      </c>
      <c r="M52" s="5" t="s">
        <v>63</v>
      </c>
      <c r="N52" s="3">
        <v>43878</v>
      </c>
      <c r="O52" s="3">
        <v>43891</v>
      </c>
      <c r="P52" s="2" t="s">
        <v>25</v>
      </c>
      <c r="Q52" s="2" t="s">
        <v>26</v>
      </c>
      <c r="R52" s="2" t="s">
        <v>44</v>
      </c>
      <c r="S52" s="5" t="s">
        <v>28</v>
      </c>
      <c r="T52" s="8" t="s">
        <v>29</v>
      </c>
      <c r="U52" s="2">
        <f t="shared" si="2"/>
        <v>13.888888888888889</v>
      </c>
      <c r="V52" s="4" t="s">
        <v>111</v>
      </c>
      <c r="AA52" s="19"/>
      <c r="AB52" s="19"/>
      <c r="AJ52" s="4">
        <f>[1]données!F52/([1]données!E52/100)^2</f>
        <v>13.888888888888889</v>
      </c>
      <c r="AK52" s="4" t="s">
        <v>111</v>
      </c>
      <c r="AP52" s="2" t="b">
        <v>1</v>
      </c>
      <c r="AQ52" s="2" t="s">
        <v>40</v>
      </c>
    </row>
    <row r="53" spans="1:43" x14ac:dyDescent="0.25">
      <c r="A53" s="7">
        <f t="shared" si="3"/>
        <v>52</v>
      </c>
      <c r="B53" s="2" t="s">
        <v>20</v>
      </c>
      <c r="C53" s="2" t="s">
        <v>21</v>
      </c>
      <c r="D53" s="3">
        <v>39102</v>
      </c>
      <c r="E53" s="2">
        <v>145</v>
      </c>
      <c r="F53" s="2">
        <v>42</v>
      </c>
      <c r="G53" s="2" t="s">
        <v>22</v>
      </c>
      <c r="H53" s="2" t="s">
        <v>22</v>
      </c>
      <c r="I53" s="2">
        <v>22</v>
      </c>
      <c r="J53" s="2" t="b">
        <v>0</v>
      </c>
      <c r="K53" s="2" t="b">
        <v>1</v>
      </c>
      <c r="L53" s="2" t="s">
        <v>40</v>
      </c>
      <c r="M53" s="5" t="s">
        <v>63</v>
      </c>
      <c r="N53" s="3">
        <v>43772</v>
      </c>
      <c r="O53" s="3">
        <v>43837</v>
      </c>
      <c r="P53" s="2" t="s">
        <v>42</v>
      </c>
      <c r="Q53" s="2" t="s">
        <v>43</v>
      </c>
      <c r="R53" s="2" t="s">
        <v>52</v>
      </c>
      <c r="S53" s="5" t="s">
        <v>28</v>
      </c>
      <c r="T53" s="8" t="s">
        <v>29</v>
      </c>
      <c r="U53" s="2">
        <f t="shared" si="2"/>
        <v>19.976218787158146</v>
      </c>
      <c r="V53" s="4" t="s">
        <v>108</v>
      </c>
      <c r="AA53" s="19"/>
      <c r="AB53" s="19"/>
      <c r="AJ53" s="4">
        <f>[1]données!F53/([1]données!E53/100)^2</f>
        <v>19.976218787158146</v>
      </c>
      <c r="AK53" s="4" t="s">
        <v>108</v>
      </c>
      <c r="AP53" s="2" t="b">
        <v>1</v>
      </c>
      <c r="AQ53" s="2" t="s">
        <v>40</v>
      </c>
    </row>
    <row r="54" spans="1:43" x14ac:dyDescent="0.25">
      <c r="A54" s="7">
        <f t="shared" si="3"/>
        <v>53</v>
      </c>
      <c r="B54" s="2" t="s">
        <v>20</v>
      </c>
      <c r="C54" s="2" t="s">
        <v>21</v>
      </c>
      <c r="D54" s="3">
        <v>36970</v>
      </c>
      <c r="E54" s="2">
        <v>145</v>
      </c>
      <c r="F54" s="2">
        <v>68</v>
      </c>
      <c r="G54" s="2" t="s">
        <v>22</v>
      </c>
      <c r="H54" s="2" t="s">
        <v>35</v>
      </c>
      <c r="I54" s="2">
        <v>20</v>
      </c>
      <c r="J54" s="2" t="b">
        <v>0</v>
      </c>
      <c r="K54" s="2" t="b">
        <v>1</v>
      </c>
      <c r="L54" s="2" t="s">
        <v>40</v>
      </c>
      <c r="M54" s="5" t="s">
        <v>83</v>
      </c>
      <c r="N54" s="3">
        <v>43683</v>
      </c>
      <c r="O54" s="3">
        <v>43710</v>
      </c>
      <c r="P54" s="2" t="s">
        <v>42</v>
      </c>
      <c r="Q54" s="2" t="s">
        <v>43</v>
      </c>
      <c r="R54" s="2" t="s">
        <v>44</v>
      </c>
      <c r="S54" s="5" t="s">
        <v>28</v>
      </c>
      <c r="T54" s="8" t="s">
        <v>29</v>
      </c>
      <c r="U54" s="2">
        <f t="shared" si="2"/>
        <v>32.342449464922709</v>
      </c>
      <c r="V54" s="4" t="s">
        <v>113</v>
      </c>
      <c r="AA54" s="19"/>
      <c r="AB54" s="19"/>
      <c r="AJ54" s="4">
        <f>[1]données!F54/([1]données!E54/100)^2</f>
        <v>32.342449464922709</v>
      </c>
      <c r="AK54" s="4" t="s">
        <v>113</v>
      </c>
      <c r="AP54" s="2" t="b">
        <v>1</v>
      </c>
      <c r="AQ54" s="2" t="s">
        <v>40</v>
      </c>
    </row>
    <row r="55" spans="1:43" x14ac:dyDescent="0.25">
      <c r="A55" s="7">
        <f t="shared" si="3"/>
        <v>54</v>
      </c>
      <c r="B55" s="2" t="s">
        <v>39</v>
      </c>
      <c r="C55" s="2" t="s">
        <v>30</v>
      </c>
      <c r="D55" s="3">
        <v>40257</v>
      </c>
      <c r="E55" s="2">
        <v>172</v>
      </c>
      <c r="F55" s="2">
        <v>104</v>
      </c>
      <c r="G55" s="2" t="s">
        <v>31</v>
      </c>
      <c r="H55" s="2" t="s">
        <v>35</v>
      </c>
      <c r="I55" s="2">
        <v>0</v>
      </c>
      <c r="J55" s="2" t="b">
        <v>0</v>
      </c>
      <c r="K55" s="2" t="b">
        <v>1</v>
      </c>
      <c r="L55" s="2" t="s">
        <v>100</v>
      </c>
      <c r="M55" s="5" t="s">
        <v>83</v>
      </c>
      <c r="N55" s="3">
        <v>43831</v>
      </c>
      <c r="O55" s="3">
        <v>43855</v>
      </c>
      <c r="P55" s="2" t="s">
        <v>25</v>
      </c>
      <c r="Q55" s="2" t="s">
        <v>26</v>
      </c>
      <c r="R55" s="2" t="s">
        <v>27</v>
      </c>
      <c r="S55" s="5" t="s">
        <v>28</v>
      </c>
      <c r="T55" s="8" t="s">
        <v>29</v>
      </c>
      <c r="U55" s="2">
        <f t="shared" si="2"/>
        <v>35.154137371552196</v>
      </c>
      <c r="V55" s="4" t="s">
        <v>114</v>
      </c>
      <c r="AA55" s="19"/>
      <c r="AB55" s="19"/>
      <c r="AJ55" s="4">
        <f>[1]données!F55/([1]données!E55/100)^2</f>
        <v>35.154137371552196</v>
      </c>
      <c r="AK55" s="4" t="s">
        <v>114</v>
      </c>
      <c r="AP55" s="2" t="b">
        <v>1</v>
      </c>
      <c r="AQ55" s="2" t="s">
        <v>100</v>
      </c>
    </row>
    <row r="56" spans="1:43" x14ac:dyDescent="0.25">
      <c r="A56" s="7">
        <f t="shared" si="3"/>
        <v>55</v>
      </c>
      <c r="B56" s="2" t="s">
        <v>39</v>
      </c>
      <c r="C56" s="2" t="s">
        <v>30</v>
      </c>
      <c r="D56" s="3">
        <v>36205</v>
      </c>
      <c r="E56" s="2">
        <v>192</v>
      </c>
      <c r="F56" s="2">
        <v>110</v>
      </c>
      <c r="G56" s="2" t="s">
        <v>31</v>
      </c>
      <c r="H56" s="2" t="s">
        <v>22</v>
      </c>
      <c r="I56" s="2">
        <v>30</v>
      </c>
      <c r="J56" s="2" t="b">
        <v>0</v>
      </c>
      <c r="K56" s="2" t="b">
        <v>1</v>
      </c>
      <c r="L56" s="2" t="s">
        <v>32</v>
      </c>
      <c r="M56" s="5" t="s">
        <v>37</v>
      </c>
      <c r="N56" s="3">
        <v>43860</v>
      </c>
      <c r="O56" s="3">
        <v>43895</v>
      </c>
      <c r="P56" s="2" t="s">
        <v>38</v>
      </c>
      <c r="Q56" s="2" t="s">
        <v>26</v>
      </c>
      <c r="R56" s="2" t="s">
        <v>27</v>
      </c>
      <c r="S56" s="5" t="s">
        <v>28</v>
      </c>
      <c r="T56" s="8" t="s">
        <v>49</v>
      </c>
      <c r="U56" s="2">
        <f t="shared" si="2"/>
        <v>29.839409722222221</v>
      </c>
      <c r="V56" s="4" t="s">
        <v>109</v>
      </c>
      <c r="AA56" s="19"/>
      <c r="AB56" s="19"/>
      <c r="AJ56" s="4">
        <f>[1]données!F56/([1]données!E56/100)^2</f>
        <v>29.839409722222221</v>
      </c>
      <c r="AK56" s="4" t="s">
        <v>109</v>
      </c>
      <c r="AP56" s="2" t="b">
        <v>1</v>
      </c>
      <c r="AQ56" s="2" t="s">
        <v>32</v>
      </c>
    </row>
    <row r="57" spans="1:43" x14ac:dyDescent="0.25">
      <c r="A57" s="7">
        <f t="shared" si="3"/>
        <v>56</v>
      </c>
      <c r="B57" s="2" t="s">
        <v>20</v>
      </c>
      <c r="C57" s="2" t="s">
        <v>21</v>
      </c>
      <c r="D57" s="3">
        <v>28535</v>
      </c>
      <c r="E57" s="2">
        <v>192</v>
      </c>
      <c r="F57" s="2">
        <v>89</v>
      </c>
      <c r="G57" s="2" t="s">
        <v>90</v>
      </c>
      <c r="H57" s="2" t="s">
        <v>35</v>
      </c>
      <c r="I57" s="2">
        <v>25</v>
      </c>
      <c r="J57" s="2" t="b">
        <v>0</v>
      </c>
      <c r="K57" s="2" t="b">
        <v>1</v>
      </c>
      <c r="L57" s="2" t="s">
        <v>36</v>
      </c>
      <c r="M57" s="5" t="s">
        <v>89</v>
      </c>
      <c r="N57" s="3">
        <v>43604</v>
      </c>
      <c r="O57" s="3">
        <v>43610</v>
      </c>
      <c r="P57" s="2" t="s">
        <v>42</v>
      </c>
      <c r="Q57" s="2" t="s">
        <v>43</v>
      </c>
      <c r="R57" s="2" t="s">
        <v>52</v>
      </c>
      <c r="S57" s="5" t="s">
        <v>28</v>
      </c>
      <c r="T57" s="8" t="s">
        <v>29</v>
      </c>
      <c r="U57" s="2">
        <f t="shared" si="2"/>
        <v>24.142795138888889</v>
      </c>
      <c r="V57" s="4" t="s">
        <v>108</v>
      </c>
      <c r="AA57" s="19"/>
      <c r="AB57" s="19"/>
      <c r="AJ57" s="4">
        <f>[1]données!F57/([1]données!E57/100)^2</f>
        <v>24.142795138888889</v>
      </c>
      <c r="AK57" s="4" t="s">
        <v>108</v>
      </c>
      <c r="AP57" s="2" t="b">
        <v>1</v>
      </c>
      <c r="AQ57" s="2" t="s">
        <v>36</v>
      </c>
    </row>
    <row r="58" spans="1:43" x14ac:dyDescent="0.25">
      <c r="A58" s="7">
        <f t="shared" si="3"/>
        <v>57</v>
      </c>
      <c r="B58" s="2" t="s">
        <v>39</v>
      </c>
      <c r="C58" s="2" t="s">
        <v>30</v>
      </c>
      <c r="D58" s="3">
        <v>28545</v>
      </c>
      <c r="E58" s="2">
        <v>162</v>
      </c>
      <c r="F58" s="2">
        <v>93</v>
      </c>
      <c r="G58" s="2" t="s">
        <v>31</v>
      </c>
      <c r="H58" s="2" t="s">
        <v>35</v>
      </c>
      <c r="I58" s="2">
        <v>25</v>
      </c>
      <c r="J58" s="2" t="b">
        <v>0</v>
      </c>
      <c r="K58" s="2" t="b">
        <v>1</v>
      </c>
      <c r="L58" s="2" t="s">
        <v>36</v>
      </c>
      <c r="M58" s="5" t="s">
        <v>89</v>
      </c>
      <c r="N58" s="3">
        <v>43878</v>
      </c>
      <c r="O58" s="3">
        <v>43893</v>
      </c>
      <c r="P58" s="2" t="s">
        <v>42</v>
      </c>
      <c r="Q58" s="2" t="s">
        <v>43</v>
      </c>
      <c r="R58" s="2" t="s">
        <v>52</v>
      </c>
      <c r="S58" s="5" t="s">
        <v>28</v>
      </c>
      <c r="T58" s="8" t="s">
        <v>29</v>
      </c>
      <c r="U58" s="2">
        <f t="shared" si="2"/>
        <v>35.436671239140367</v>
      </c>
      <c r="V58" s="4" t="s">
        <v>114</v>
      </c>
      <c r="AA58" s="19"/>
      <c r="AB58" s="19"/>
      <c r="AJ58" s="4">
        <f>[1]données!F58/([1]données!E58/100)^2</f>
        <v>35.436671239140367</v>
      </c>
      <c r="AK58" s="4" t="s">
        <v>114</v>
      </c>
      <c r="AP58" s="2" t="b">
        <v>1</v>
      </c>
      <c r="AQ58" s="2" t="s">
        <v>36</v>
      </c>
    </row>
    <row r="59" spans="1:43" x14ac:dyDescent="0.25">
      <c r="A59" s="7">
        <f t="shared" si="3"/>
        <v>58</v>
      </c>
      <c r="B59" s="2" t="s">
        <v>39</v>
      </c>
      <c r="C59" s="2" t="s">
        <v>30</v>
      </c>
      <c r="D59" s="3">
        <v>21240</v>
      </c>
      <c r="E59" s="2">
        <v>162</v>
      </c>
      <c r="F59" s="2">
        <v>93</v>
      </c>
      <c r="G59" s="2" t="s">
        <v>31</v>
      </c>
      <c r="H59" s="2" t="s">
        <v>35</v>
      </c>
      <c r="I59" s="2">
        <v>25</v>
      </c>
      <c r="J59" s="2" t="b">
        <v>0</v>
      </c>
      <c r="K59" s="2" t="b">
        <v>1</v>
      </c>
      <c r="L59" s="2" t="s">
        <v>36</v>
      </c>
      <c r="M59" s="5" t="s">
        <v>56</v>
      </c>
      <c r="N59" s="3">
        <v>43772</v>
      </c>
      <c r="O59" s="3">
        <v>43837</v>
      </c>
      <c r="P59" s="2" t="s">
        <v>42</v>
      </c>
      <c r="Q59" s="2" t="s">
        <v>43</v>
      </c>
      <c r="R59" s="2" t="s">
        <v>52</v>
      </c>
      <c r="S59" s="5" t="s">
        <v>53</v>
      </c>
      <c r="T59" s="8" t="s">
        <v>29</v>
      </c>
      <c r="U59" s="2">
        <f t="shared" si="2"/>
        <v>35.436671239140367</v>
      </c>
      <c r="V59" s="4" t="s">
        <v>114</v>
      </c>
      <c r="AA59" s="19"/>
      <c r="AB59" s="19"/>
      <c r="AJ59" s="4">
        <f>[1]données!F59/([1]données!E59/100)^2</f>
        <v>35.436671239140367</v>
      </c>
      <c r="AK59" s="4" t="s">
        <v>114</v>
      </c>
      <c r="AP59" s="2" t="b">
        <v>1</v>
      </c>
      <c r="AQ59" s="2" t="s">
        <v>36</v>
      </c>
    </row>
    <row r="60" spans="1:43" x14ac:dyDescent="0.25">
      <c r="A60" s="7">
        <f t="shared" si="3"/>
        <v>59</v>
      </c>
      <c r="B60" s="2" t="s">
        <v>20</v>
      </c>
      <c r="C60" s="2" t="s">
        <v>30</v>
      </c>
      <c r="D60" s="3">
        <v>33658</v>
      </c>
      <c r="E60" s="2">
        <v>162</v>
      </c>
      <c r="F60" s="2">
        <v>65</v>
      </c>
      <c r="G60" s="2" t="s">
        <v>31</v>
      </c>
      <c r="H60" s="2" t="s">
        <v>35</v>
      </c>
      <c r="I60" s="2">
        <v>0</v>
      </c>
      <c r="J60" s="2" t="b">
        <v>0</v>
      </c>
      <c r="K60" s="2" t="b">
        <v>1</v>
      </c>
      <c r="L60" s="2" t="s">
        <v>36</v>
      </c>
      <c r="M60" s="5" t="s">
        <v>56</v>
      </c>
      <c r="N60" s="3">
        <v>43521</v>
      </c>
      <c r="O60" s="3">
        <v>43527</v>
      </c>
      <c r="P60" s="2" t="s">
        <v>42</v>
      </c>
      <c r="Q60" s="2" t="s">
        <v>43</v>
      </c>
      <c r="R60" s="2" t="s">
        <v>52</v>
      </c>
      <c r="S60" s="5" t="s">
        <v>53</v>
      </c>
      <c r="T60" s="8" t="s">
        <v>29</v>
      </c>
      <c r="U60" s="2">
        <f t="shared" si="2"/>
        <v>24.767565919829291</v>
      </c>
      <c r="V60" s="4" t="s">
        <v>108</v>
      </c>
      <c r="AA60" s="19"/>
      <c r="AB60" s="19"/>
      <c r="AJ60" s="4">
        <f>[1]données!F60/([1]données!E60/100)^2</f>
        <v>24.767565919829291</v>
      </c>
      <c r="AK60" s="4" t="s">
        <v>108</v>
      </c>
      <c r="AP60" s="2" t="b">
        <v>1</v>
      </c>
      <c r="AQ60" s="2" t="s">
        <v>36</v>
      </c>
    </row>
    <row r="61" spans="1:43" x14ac:dyDescent="0.25">
      <c r="A61" s="7">
        <f t="shared" si="3"/>
        <v>60</v>
      </c>
      <c r="B61" s="2" t="s">
        <v>39</v>
      </c>
      <c r="C61" s="2" t="s">
        <v>21</v>
      </c>
      <c r="D61" s="3">
        <v>33658</v>
      </c>
      <c r="E61" s="2">
        <v>162</v>
      </c>
      <c r="F61" s="2">
        <v>65</v>
      </c>
      <c r="G61" s="2" t="s">
        <v>35</v>
      </c>
      <c r="H61" s="2" t="s">
        <v>35</v>
      </c>
      <c r="I61" s="2">
        <v>0</v>
      </c>
      <c r="J61" s="2" t="b">
        <v>0</v>
      </c>
      <c r="K61" s="2" t="b">
        <v>1</v>
      </c>
      <c r="L61" s="2" t="s">
        <v>36</v>
      </c>
      <c r="M61" s="5" t="s">
        <v>56</v>
      </c>
      <c r="N61" s="3">
        <v>43604</v>
      </c>
      <c r="O61" s="3">
        <v>43610</v>
      </c>
      <c r="P61" s="2" t="s">
        <v>42</v>
      </c>
      <c r="Q61" s="2" t="s">
        <v>43</v>
      </c>
      <c r="R61" s="2" t="s">
        <v>52</v>
      </c>
      <c r="S61" s="5" t="s">
        <v>53</v>
      </c>
      <c r="T61" s="8" t="s">
        <v>29</v>
      </c>
      <c r="U61" s="2">
        <f t="shared" si="2"/>
        <v>24.767565919829291</v>
      </c>
      <c r="V61" s="4" t="s">
        <v>108</v>
      </c>
      <c r="AA61" s="19"/>
      <c r="AB61" s="19"/>
      <c r="AJ61" s="4">
        <f>[1]données!F61/([1]données!E61/100)^2</f>
        <v>24.767565919829291</v>
      </c>
      <c r="AK61" s="4" t="s">
        <v>108</v>
      </c>
      <c r="AP61" s="2" t="b">
        <v>1</v>
      </c>
      <c r="AQ61" s="2" t="s">
        <v>36</v>
      </c>
    </row>
    <row r="62" spans="1:43" x14ac:dyDescent="0.25">
      <c r="A62" s="7">
        <f t="shared" si="3"/>
        <v>61</v>
      </c>
      <c r="B62" s="2" t="s">
        <v>20</v>
      </c>
      <c r="C62" s="2" t="s">
        <v>30</v>
      </c>
      <c r="D62" s="3">
        <v>37054</v>
      </c>
      <c r="E62" s="2">
        <v>187</v>
      </c>
      <c r="F62" s="2">
        <v>71</v>
      </c>
      <c r="G62" s="2" t="s">
        <v>31</v>
      </c>
      <c r="H62" s="2" t="s">
        <v>35</v>
      </c>
      <c r="I62" s="2">
        <v>0</v>
      </c>
      <c r="J62" s="2" t="b">
        <v>0</v>
      </c>
      <c r="K62" s="2" t="b">
        <v>1</v>
      </c>
      <c r="L62" s="2" t="s">
        <v>62</v>
      </c>
      <c r="M62" s="5" t="s">
        <v>83</v>
      </c>
      <c r="N62" s="3">
        <v>43863</v>
      </c>
      <c r="O62" s="3">
        <v>43878</v>
      </c>
      <c r="P62" s="2" t="s">
        <v>38</v>
      </c>
      <c r="Q62" s="2" t="s">
        <v>26</v>
      </c>
      <c r="R62" s="2" t="s">
        <v>34</v>
      </c>
      <c r="S62" s="5" t="s">
        <v>28</v>
      </c>
      <c r="T62" s="8" t="s">
        <v>29</v>
      </c>
      <c r="U62" s="2">
        <f t="shared" si="2"/>
        <v>20.303697560696612</v>
      </c>
      <c r="V62" s="4" t="s">
        <v>108</v>
      </c>
      <c r="AA62" s="19"/>
      <c r="AB62" s="19"/>
      <c r="AJ62" s="4">
        <f>[1]données!F62/([1]données!E62/100)^2</f>
        <v>20.303697560696612</v>
      </c>
      <c r="AK62" s="4" t="s">
        <v>108</v>
      </c>
      <c r="AP62" s="2" t="b">
        <v>1</v>
      </c>
      <c r="AQ62" s="2" t="s">
        <v>62</v>
      </c>
    </row>
    <row r="63" spans="1:43" x14ac:dyDescent="0.25">
      <c r="A63" s="7">
        <f t="shared" si="3"/>
        <v>62</v>
      </c>
      <c r="B63" s="2" t="s">
        <v>20</v>
      </c>
      <c r="C63" s="2" t="s">
        <v>30</v>
      </c>
      <c r="D63" s="3">
        <v>37146</v>
      </c>
      <c r="E63" s="2">
        <v>187</v>
      </c>
      <c r="F63" s="2">
        <v>91</v>
      </c>
      <c r="G63" s="2" t="s">
        <v>31</v>
      </c>
      <c r="H63" s="2" t="s">
        <v>22</v>
      </c>
      <c r="I63" s="2">
        <v>20</v>
      </c>
      <c r="J63" s="2" t="b">
        <v>0</v>
      </c>
      <c r="K63" s="2" t="b">
        <v>1</v>
      </c>
      <c r="L63" s="2" t="s">
        <v>62</v>
      </c>
      <c r="M63" s="5" t="s">
        <v>83</v>
      </c>
      <c r="N63" s="3">
        <v>43860</v>
      </c>
      <c r="O63" s="3">
        <v>43895</v>
      </c>
      <c r="P63" s="2" t="s">
        <v>38</v>
      </c>
      <c r="Q63" s="2" t="s">
        <v>26</v>
      </c>
      <c r="R63" s="2" t="s">
        <v>34</v>
      </c>
      <c r="S63" s="5" t="s">
        <v>28</v>
      </c>
      <c r="T63" s="8" t="s">
        <v>29</v>
      </c>
      <c r="U63" s="2">
        <f t="shared" si="2"/>
        <v>26.023048986244955</v>
      </c>
      <c r="V63" s="4" t="s">
        <v>109</v>
      </c>
      <c r="AA63" s="19"/>
      <c r="AB63" s="19"/>
      <c r="AJ63" s="4">
        <f>[1]données!F63/([1]données!E63/100)^2</f>
        <v>26.023048986244955</v>
      </c>
      <c r="AK63" s="4" t="s">
        <v>109</v>
      </c>
      <c r="AP63" s="2" t="b">
        <v>1</v>
      </c>
      <c r="AQ63" s="2" t="s">
        <v>62</v>
      </c>
    </row>
    <row r="64" spans="1:43" x14ac:dyDescent="0.25">
      <c r="A64" s="7">
        <f t="shared" si="3"/>
        <v>63</v>
      </c>
      <c r="B64" s="2" t="s">
        <v>20</v>
      </c>
      <c r="C64" s="2" t="s">
        <v>30</v>
      </c>
      <c r="D64" s="3">
        <v>36050</v>
      </c>
      <c r="E64" s="2">
        <v>187</v>
      </c>
      <c r="F64" s="2">
        <v>91</v>
      </c>
      <c r="G64" s="2" t="s">
        <v>31</v>
      </c>
      <c r="H64" s="2" t="s">
        <v>22</v>
      </c>
      <c r="I64" s="2">
        <v>20</v>
      </c>
      <c r="J64" s="2" t="b">
        <v>0</v>
      </c>
      <c r="K64" s="2" t="b">
        <v>1</v>
      </c>
      <c r="L64" s="2" t="s">
        <v>62</v>
      </c>
      <c r="M64" s="5" t="s">
        <v>83</v>
      </c>
      <c r="N64" s="3">
        <v>43878</v>
      </c>
      <c r="O64" s="3">
        <v>43891</v>
      </c>
      <c r="P64" s="2" t="s">
        <v>38</v>
      </c>
      <c r="Q64" s="2" t="s">
        <v>26</v>
      </c>
      <c r="R64" s="2" t="s">
        <v>34</v>
      </c>
      <c r="S64" s="5" t="s">
        <v>28</v>
      </c>
      <c r="T64" s="8" t="s">
        <v>49</v>
      </c>
      <c r="U64" s="2">
        <f t="shared" si="2"/>
        <v>26.023048986244955</v>
      </c>
      <c r="V64" s="4" t="s">
        <v>109</v>
      </c>
      <c r="AA64" s="19"/>
      <c r="AB64" s="19"/>
      <c r="AJ64" s="4">
        <f>[1]données!F64/([1]données!E64/100)^2</f>
        <v>26.023048986244955</v>
      </c>
      <c r="AK64" s="4" t="s">
        <v>109</v>
      </c>
      <c r="AP64" s="2" t="b">
        <v>1</v>
      </c>
      <c r="AQ64" s="2" t="s">
        <v>62</v>
      </c>
    </row>
    <row r="65" spans="1:43" x14ac:dyDescent="0.25">
      <c r="A65" s="7">
        <f t="shared" si="3"/>
        <v>64</v>
      </c>
      <c r="B65" s="2" t="s">
        <v>20</v>
      </c>
      <c r="C65" s="2" t="s">
        <v>30</v>
      </c>
      <c r="D65" s="3">
        <v>36050</v>
      </c>
      <c r="E65" s="2">
        <v>187</v>
      </c>
      <c r="F65" s="2">
        <v>91</v>
      </c>
      <c r="G65" s="2" t="s">
        <v>31</v>
      </c>
      <c r="H65" s="2" t="s">
        <v>22</v>
      </c>
      <c r="I65" s="2">
        <v>20</v>
      </c>
      <c r="J65" s="2" t="b">
        <v>0</v>
      </c>
      <c r="K65" s="2" t="b">
        <v>1</v>
      </c>
      <c r="L65" s="2" t="s">
        <v>101</v>
      </c>
      <c r="M65" s="5" t="s">
        <v>63</v>
      </c>
      <c r="N65" s="3">
        <v>43604</v>
      </c>
      <c r="O65" s="3">
        <v>43610</v>
      </c>
      <c r="P65" s="2" t="s">
        <v>38</v>
      </c>
      <c r="Q65" s="2" t="s">
        <v>26</v>
      </c>
      <c r="R65" s="2" t="s">
        <v>34</v>
      </c>
      <c r="S65" s="5" t="s">
        <v>28</v>
      </c>
      <c r="T65" s="8" t="s">
        <v>49</v>
      </c>
      <c r="U65" s="2">
        <f t="shared" si="2"/>
        <v>26.023048986244955</v>
      </c>
      <c r="V65" s="4" t="s">
        <v>109</v>
      </c>
      <c r="AA65" s="19"/>
      <c r="AB65" s="19"/>
      <c r="AJ65" s="4">
        <f>[1]données!F65/([1]données!E65/100)^2</f>
        <v>26.023048986244955</v>
      </c>
      <c r="AK65" s="4" t="s">
        <v>109</v>
      </c>
      <c r="AP65" s="2" t="b">
        <v>1</v>
      </c>
      <c r="AQ65" s="2" t="s">
        <v>101</v>
      </c>
    </row>
    <row r="66" spans="1:43" x14ac:dyDescent="0.25">
      <c r="A66" s="7">
        <f t="shared" si="3"/>
        <v>65</v>
      </c>
      <c r="B66" s="2" t="s">
        <v>20</v>
      </c>
      <c r="C66" s="2" t="s">
        <v>21</v>
      </c>
      <c r="D66" s="3">
        <v>36050</v>
      </c>
      <c r="E66" s="2">
        <v>187</v>
      </c>
      <c r="F66" s="2">
        <v>91</v>
      </c>
      <c r="G66" s="2" t="s">
        <v>22</v>
      </c>
      <c r="H66" s="2" t="s">
        <v>22</v>
      </c>
      <c r="I66" s="2">
        <v>20</v>
      </c>
      <c r="J66" s="2" t="b">
        <v>0</v>
      </c>
      <c r="K66" s="2" t="b">
        <v>1</v>
      </c>
      <c r="L66" s="2" t="s">
        <v>101</v>
      </c>
      <c r="M66" s="5" t="s">
        <v>63</v>
      </c>
      <c r="N66" s="3">
        <v>43772</v>
      </c>
      <c r="O66" s="3">
        <v>43837</v>
      </c>
      <c r="P66" s="2" t="s">
        <v>38</v>
      </c>
      <c r="Q66" s="2" t="s">
        <v>26</v>
      </c>
      <c r="R66" s="2" t="s">
        <v>34</v>
      </c>
      <c r="S66" s="5" t="s">
        <v>28</v>
      </c>
      <c r="T66" s="8" t="s">
        <v>45</v>
      </c>
      <c r="U66" s="2">
        <f t="shared" ref="U66:U102" si="4">Imc(F66,E66)</f>
        <v>26.023048986244955</v>
      </c>
      <c r="V66" s="4" t="s">
        <v>109</v>
      </c>
      <c r="AA66" s="19"/>
      <c r="AB66" s="19"/>
      <c r="AJ66" s="4">
        <f>[1]données!F66/([1]données!E66/100)^2</f>
        <v>26.023048986244955</v>
      </c>
      <c r="AK66" s="4" t="s">
        <v>109</v>
      </c>
      <c r="AP66" s="2" t="b">
        <v>1</v>
      </c>
      <c r="AQ66" s="2" t="s">
        <v>101</v>
      </c>
    </row>
    <row r="67" spans="1:43" x14ac:dyDescent="0.25">
      <c r="A67" s="7">
        <f t="shared" ref="A67:A101" si="5">1+SUM(A66)</f>
        <v>66</v>
      </c>
      <c r="B67" s="2" t="s">
        <v>20</v>
      </c>
      <c r="C67" s="2" t="s">
        <v>21</v>
      </c>
      <c r="D67" s="3">
        <v>36060</v>
      </c>
      <c r="E67" s="2">
        <v>187</v>
      </c>
      <c r="F67" s="2">
        <v>91</v>
      </c>
      <c r="G67" s="2" t="s">
        <v>22</v>
      </c>
      <c r="H67" s="2" t="s">
        <v>22</v>
      </c>
      <c r="I67" s="2">
        <v>20</v>
      </c>
      <c r="J67" s="2" t="b">
        <v>0</v>
      </c>
      <c r="K67" s="2" t="b">
        <v>1</v>
      </c>
      <c r="L67" s="2" t="s">
        <v>101</v>
      </c>
      <c r="M67" s="5" t="s">
        <v>63</v>
      </c>
      <c r="N67" s="3">
        <v>43683</v>
      </c>
      <c r="O67" s="3">
        <v>43710</v>
      </c>
      <c r="P67" s="2" t="s">
        <v>38</v>
      </c>
      <c r="Q67" s="2" t="s">
        <v>43</v>
      </c>
      <c r="R67" s="2" t="s">
        <v>34</v>
      </c>
      <c r="S67" s="5" t="s">
        <v>99</v>
      </c>
      <c r="T67" s="8" t="s">
        <v>45</v>
      </c>
      <c r="U67" s="2">
        <f t="shared" si="4"/>
        <v>26.023048986244955</v>
      </c>
      <c r="V67" s="4" t="s">
        <v>109</v>
      </c>
      <c r="AA67" s="19"/>
      <c r="AB67" s="19"/>
      <c r="AJ67" s="4">
        <f>[1]données!F67/([1]données!E67/100)^2</f>
        <v>26.023048986244955</v>
      </c>
      <c r="AK67" s="4" t="s">
        <v>109</v>
      </c>
      <c r="AP67" s="2" t="b">
        <v>1</v>
      </c>
      <c r="AQ67" s="2" t="s">
        <v>101</v>
      </c>
    </row>
    <row r="68" spans="1:43" x14ac:dyDescent="0.25">
      <c r="A68" s="7">
        <f t="shared" si="5"/>
        <v>67</v>
      </c>
      <c r="B68" s="2" t="s">
        <v>39</v>
      </c>
      <c r="C68" s="2" t="s">
        <v>21</v>
      </c>
      <c r="D68" s="3">
        <v>36060</v>
      </c>
      <c r="E68" s="2">
        <v>187</v>
      </c>
      <c r="F68" s="2">
        <v>91</v>
      </c>
      <c r="G68" s="2" t="s">
        <v>22</v>
      </c>
      <c r="H68" s="2" t="s">
        <v>22</v>
      </c>
      <c r="I68" s="2">
        <v>20</v>
      </c>
      <c r="J68" s="2" t="b">
        <v>0</v>
      </c>
      <c r="K68" s="2" t="b">
        <v>1</v>
      </c>
      <c r="L68" s="2" t="s">
        <v>81</v>
      </c>
      <c r="M68" s="5" t="s">
        <v>94</v>
      </c>
      <c r="N68" s="3">
        <v>43878</v>
      </c>
      <c r="O68" s="3">
        <v>43893</v>
      </c>
      <c r="P68" s="2" t="s">
        <v>38</v>
      </c>
      <c r="Q68" s="2" t="s">
        <v>43</v>
      </c>
      <c r="R68" s="2" t="s">
        <v>34</v>
      </c>
      <c r="S68" s="5" t="s">
        <v>99</v>
      </c>
      <c r="T68" s="8" t="s">
        <v>45</v>
      </c>
      <c r="U68" s="2">
        <f t="shared" si="4"/>
        <v>26.023048986244955</v>
      </c>
      <c r="V68" s="4" t="s">
        <v>109</v>
      </c>
      <c r="AA68" s="19"/>
      <c r="AB68" s="19"/>
      <c r="AJ68" s="4">
        <f>[1]données!F68/([1]données!E68/100)^2</f>
        <v>26.023048986244955</v>
      </c>
      <c r="AK68" s="4" t="s">
        <v>109</v>
      </c>
      <c r="AP68" s="2" t="b">
        <v>1</v>
      </c>
      <c r="AQ68" s="2" t="s">
        <v>81</v>
      </c>
    </row>
    <row r="69" spans="1:43" x14ac:dyDescent="0.25">
      <c r="A69" s="7">
        <f t="shared" si="5"/>
        <v>68</v>
      </c>
      <c r="B69" s="2" t="s">
        <v>39</v>
      </c>
      <c r="C69" s="2" t="s">
        <v>21</v>
      </c>
      <c r="D69" s="3">
        <v>36060</v>
      </c>
      <c r="E69" s="2">
        <v>187</v>
      </c>
      <c r="F69" s="2">
        <v>91</v>
      </c>
      <c r="G69" s="2" t="s">
        <v>22</v>
      </c>
      <c r="H69" s="2" t="s">
        <v>22</v>
      </c>
      <c r="I69" s="2">
        <v>20</v>
      </c>
      <c r="J69" s="2" t="b">
        <v>0</v>
      </c>
      <c r="K69" s="2" t="b">
        <v>1</v>
      </c>
      <c r="L69" s="2" t="s">
        <v>81</v>
      </c>
      <c r="M69" s="5" t="s">
        <v>94</v>
      </c>
      <c r="N69" s="3">
        <v>43860</v>
      </c>
      <c r="O69" s="3">
        <v>43895</v>
      </c>
      <c r="P69" s="2" t="s">
        <v>38</v>
      </c>
      <c r="Q69" s="2" t="s">
        <v>43</v>
      </c>
      <c r="R69" s="2" t="s">
        <v>34</v>
      </c>
      <c r="S69" s="5" t="s">
        <v>99</v>
      </c>
      <c r="T69" s="8" t="s">
        <v>45</v>
      </c>
      <c r="U69" s="2">
        <f t="shared" si="4"/>
        <v>26.023048986244955</v>
      </c>
      <c r="V69" s="4" t="s">
        <v>109</v>
      </c>
      <c r="AA69" s="19"/>
      <c r="AB69" s="19"/>
      <c r="AJ69" s="4">
        <f>[1]données!F69/([1]données!E69/100)^2</f>
        <v>26.023048986244955</v>
      </c>
      <c r="AK69" s="4" t="s">
        <v>109</v>
      </c>
      <c r="AP69" s="2" t="b">
        <v>1</v>
      </c>
      <c r="AQ69" s="2" t="s">
        <v>81</v>
      </c>
    </row>
    <row r="70" spans="1:43" x14ac:dyDescent="0.25">
      <c r="A70" s="7">
        <f t="shared" si="5"/>
        <v>69</v>
      </c>
      <c r="B70" s="2" t="s">
        <v>39</v>
      </c>
      <c r="C70" s="2" t="s">
        <v>21</v>
      </c>
      <c r="D70" s="3">
        <v>36060</v>
      </c>
      <c r="E70" s="2">
        <v>187</v>
      </c>
      <c r="F70" s="2">
        <v>91</v>
      </c>
      <c r="G70" s="2" t="s">
        <v>22</v>
      </c>
      <c r="H70" s="2" t="s">
        <v>35</v>
      </c>
      <c r="I70" s="2">
        <v>20</v>
      </c>
      <c r="J70" s="2" t="b">
        <v>0</v>
      </c>
      <c r="K70" s="2" t="b">
        <v>1</v>
      </c>
      <c r="L70" s="2" t="s">
        <v>81</v>
      </c>
      <c r="M70" s="5" t="s">
        <v>94</v>
      </c>
      <c r="N70" s="3">
        <v>43831</v>
      </c>
      <c r="O70" s="3">
        <v>43855</v>
      </c>
      <c r="P70" s="2" t="s">
        <v>38</v>
      </c>
      <c r="Q70" s="2" t="s">
        <v>43</v>
      </c>
      <c r="R70" s="2" t="s">
        <v>52</v>
      </c>
      <c r="S70" s="5" t="s">
        <v>53</v>
      </c>
      <c r="T70" s="8" t="s">
        <v>45</v>
      </c>
      <c r="U70" s="2">
        <f t="shared" si="4"/>
        <v>26.023048986244955</v>
      </c>
      <c r="V70" s="4" t="s">
        <v>109</v>
      </c>
      <c r="AA70" s="19"/>
      <c r="AB70" s="19"/>
      <c r="AJ70" s="4">
        <f>[1]données!F70/([1]données!E70/100)^2</f>
        <v>26.023048986244955</v>
      </c>
      <c r="AK70" s="4" t="s">
        <v>109</v>
      </c>
      <c r="AP70" s="2" t="b">
        <v>1</v>
      </c>
      <c r="AQ70" s="2" t="s">
        <v>81</v>
      </c>
    </row>
    <row r="71" spans="1:43" x14ac:dyDescent="0.25">
      <c r="A71" s="7">
        <f t="shared" si="5"/>
        <v>70</v>
      </c>
      <c r="B71" s="2" t="s">
        <v>39</v>
      </c>
      <c r="C71" s="2" t="s">
        <v>21</v>
      </c>
      <c r="D71" s="3">
        <v>18893</v>
      </c>
      <c r="E71" s="2">
        <v>187</v>
      </c>
      <c r="F71" s="2">
        <v>61</v>
      </c>
      <c r="G71" s="2" t="s">
        <v>22</v>
      </c>
      <c r="H71" s="2" t="s">
        <v>35</v>
      </c>
      <c r="I71" s="2">
        <v>20</v>
      </c>
      <c r="J71" s="2" t="b">
        <v>0</v>
      </c>
      <c r="K71" s="2" t="b">
        <v>1</v>
      </c>
      <c r="L71" s="2" t="s">
        <v>81</v>
      </c>
      <c r="M71" s="5" t="s">
        <v>94</v>
      </c>
      <c r="N71" s="3">
        <v>43521</v>
      </c>
      <c r="O71" s="3">
        <v>43527</v>
      </c>
      <c r="P71" s="2" t="s">
        <v>38</v>
      </c>
      <c r="Q71" s="2" t="s">
        <v>43</v>
      </c>
      <c r="R71" s="2" t="s">
        <v>52</v>
      </c>
      <c r="S71" s="5" t="s">
        <v>28</v>
      </c>
      <c r="T71" s="8" t="s">
        <v>45</v>
      </c>
      <c r="U71" s="2">
        <f t="shared" si="4"/>
        <v>17.444021847922443</v>
      </c>
      <c r="V71" s="4" t="s">
        <v>112</v>
      </c>
      <c r="AA71" s="19"/>
      <c r="AB71" s="19"/>
      <c r="AJ71" s="4">
        <f>[1]données!F71/([1]données!E71/100)^2</f>
        <v>17.444021847922443</v>
      </c>
      <c r="AK71" s="4" t="s">
        <v>112</v>
      </c>
      <c r="AP71" s="2" t="b">
        <v>1</v>
      </c>
      <c r="AQ71" s="2" t="s">
        <v>81</v>
      </c>
    </row>
    <row r="72" spans="1:43" x14ac:dyDescent="0.25">
      <c r="A72" s="7">
        <f t="shared" si="5"/>
        <v>71</v>
      </c>
      <c r="B72" s="2" t="s">
        <v>39</v>
      </c>
      <c r="C72" s="2" t="s">
        <v>21</v>
      </c>
      <c r="D72" s="3">
        <v>18893</v>
      </c>
      <c r="E72" s="2">
        <v>187</v>
      </c>
      <c r="F72" s="2">
        <v>61</v>
      </c>
      <c r="G72" s="2" t="s">
        <v>22</v>
      </c>
      <c r="H72" s="2" t="s">
        <v>35</v>
      </c>
      <c r="I72" s="2">
        <v>20</v>
      </c>
      <c r="J72" s="2" t="b">
        <v>0</v>
      </c>
      <c r="K72" s="2" t="b">
        <v>1</v>
      </c>
      <c r="L72" s="2" t="s">
        <v>81</v>
      </c>
      <c r="M72" s="5" t="s">
        <v>94</v>
      </c>
      <c r="N72" s="3">
        <v>43604</v>
      </c>
      <c r="O72" s="3">
        <v>43610</v>
      </c>
      <c r="P72" s="2" t="s">
        <v>38</v>
      </c>
      <c r="Q72" s="2" t="s">
        <v>43</v>
      </c>
      <c r="R72" s="2" t="s">
        <v>52</v>
      </c>
      <c r="S72" s="5" t="s">
        <v>28</v>
      </c>
      <c r="T72" s="8" t="s">
        <v>45</v>
      </c>
      <c r="U72" s="2">
        <f t="shared" si="4"/>
        <v>17.444021847922443</v>
      </c>
      <c r="V72" s="4" t="s">
        <v>112</v>
      </c>
      <c r="AA72" s="19"/>
      <c r="AB72" s="19"/>
      <c r="AJ72" s="4">
        <f>[1]données!F72/([1]données!E72/100)^2</f>
        <v>17.444021847922443</v>
      </c>
      <c r="AK72" s="4" t="s">
        <v>112</v>
      </c>
      <c r="AP72" s="2" t="b">
        <v>1</v>
      </c>
      <c r="AQ72" s="2" t="s">
        <v>81</v>
      </c>
    </row>
    <row r="73" spans="1:43" x14ac:dyDescent="0.25">
      <c r="A73" s="7">
        <f t="shared" si="5"/>
        <v>72</v>
      </c>
      <c r="B73" s="2" t="s">
        <v>39</v>
      </c>
      <c r="C73" s="2" t="s">
        <v>21</v>
      </c>
      <c r="D73" s="3">
        <v>31677</v>
      </c>
      <c r="E73" s="2">
        <v>187</v>
      </c>
      <c r="F73" s="2">
        <v>61</v>
      </c>
      <c r="G73" s="2" t="s">
        <v>35</v>
      </c>
      <c r="H73" s="2" t="s">
        <v>35</v>
      </c>
      <c r="I73" s="2">
        <v>20</v>
      </c>
      <c r="J73" s="2" t="b">
        <v>0</v>
      </c>
      <c r="K73" s="2" t="b">
        <v>1</v>
      </c>
      <c r="L73" s="2" t="s">
        <v>81</v>
      </c>
      <c r="M73" s="5" t="s">
        <v>47</v>
      </c>
      <c r="N73" s="3">
        <v>43772</v>
      </c>
      <c r="O73" s="3">
        <v>43837</v>
      </c>
      <c r="P73" s="2" t="s">
        <v>38</v>
      </c>
      <c r="Q73" s="2" t="s">
        <v>43</v>
      </c>
      <c r="R73" s="2" t="s">
        <v>34</v>
      </c>
      <c r="S73" s="5" t="s">
        <v>99</v>
      </c>
      <c r="T73" s="8" t="s">
        <v>49</v>
      </c>
      <c r="U73" s="2">
        <f t="shared" si="4"/>
        <v>17.444021847922443</v>
      </c>
      <c r="V73" s="4" t="s">
        <v>112</v>
      </c>
      <c r="AA73" s="19"/>
      <c r="AB73" s="19"/>
      <c r="AJ73" s="4">
        <f>[1]données!F73/([1]données!E73/100)^2</f>
        <v>17.444021847922443</v>
      </c>
      <c r="AK73" s="4" t="s">
        <v>112</v>
      </c>
      <c r="AP73" s="2" t="b">
        <v>1</v>
      </c>
      <c r="AQ73" s="2" t="s">
        <v>81</v>
      </c>
    </row>
    <row r="74" spans="1:43" x14ac:dyDescent="0.25">
      <c r="A74" s="7">
        <f t="shared" si="5"/>
        <v>73</v>
      </c>
      <c r="B74" s="2" t="s">
        <v>39</v>
      </c>
      <c r="C74" s="2" t="s">
        <v>21</v>
      </c>
      <c r="D74" s="3">
        <v>31677</v>
      </c>
      <c r="E74" s="2">
        <v>195</v>
      </c>
      <c r="F74" s="2">
        <v>61</v>
      </c>
      <c r="G74" s="2" t="s">
        <v>35</v>
      </c>
      <c r="H74" s="2" t="s">
        <v>35</v>
      </c>
      <c r="I74" s="2">
        <v>26</v>
      </c>
      <c r="J74" s="2" t="b">
        <v>1</v>
      </c>
      <c r="K74" s="2" t="b">
        <v>1</v>
      </c>
      <c r="L74" s="2" t="s">
        <v>55</v>
      </c>
      <c r="M74" s="5" t="s">
        <v>47</v>
      </c>
      <c r="N74" s="3">
        <v>43860</v>
      </c>
      <c r="O74" s="3">
        <v>43895</v>
      </c>
      <c r="P74" s="2" t="s">
        <v>38</v>
      </c>
      <c r="Q74" s="2" t="s">
        <v>43</v>
      </c>
      <c r="R74" s="2" t="s">
        <v>34</v>
      </c>
      <c r="S74" s="5" t="s">
        <v>99</v>
      </c>
      <c r="T74" s="8" t="s">
        <v>49</v>
      </c>
      <c r="U74" s="2">
        <f t="shared" si="4"/>
        <v>16.042077580539122</v>
      </c>
      <c r="V74" s="4" t="s">
        <v>111</v>
      </c>
      <c r="AA74" s="19"/>
      <c r="AB74" s="19"/>
      <c r="AJ74" s="4">
        <f>[1]données!F74/([1]données!E74/100)^2</f>
        <v>16.042077580539122</v>
      </c>
      <c r="AK74" s="4" t="s">
        <v>111</v>
      </c>
      <c r="AP74" s="2" t="b">
        <v>1</v>
      </c>
      <c r="AQ74" s="2" t="s">
        <v>55</v>
      </c>
    </row>
    <row r="75" spans="1:43" x14ac:dyDescent="0.25">
      <c r="A75" s="7">
        <f t="shared" si="5"/>
        <v>74</v>
      </c>
      <c r="B75" s="2" t="s">
        <v>20</v>
      </c>
      <c r="C75" s="2" t="s">
        <v>30</v>
      </c>
      <c r="D75" s="3">
        <v>34234</v>
      </c>
      <c r="E75" s="2">
        <v>195</v>
      </c>
      <c r="F75" s="2">
        <v>87</v>
      </c>
      <c r="G75" s="2" t="s">
        <v>31</v>
      </c>
      <c r="H75" s="2" t="s">
        <v>35</v>
      </c>
      <c r="I75" s="2">
        <v>26</v>
      </c>
      <c r="J75" s="2" t="b">
        <v>0</v>
      </c>
      <c r="K75" s="2" t="b">
        <v>1</v>
      </c>
      <c r="L75" s="2" t="s">
        <v>55</v>
      </c>
      <c r="M75" s="5" t="s">
        <v>47</v>
      </c>
      <c r="N75" s="3">
        <v>43878</v>
      </c>
      <c r="O75" s="3">
        <v>43891</v>
      </c>
      <c r="P75" s="2" t="s">
        <v>38</v>
      </c>
      <c r="Q75" s="2" t="s">
        <v>26</v>
      </c>
      <c r="R75" s="2" t="s">
        <v>34</v>
      </c>
      <c r="S75" s="5" t="s">
        <v>86</v>
      </c>
      <c r="T75" s="8" t="s">
        <v>49</v>
      </c>
      <c r="U75" s="2">
        <f t="shared" si="4"/>
        <v>22.87968441814596</v>
      </c>
      <c r="V75" s="4" t="s">
        <v>108</v>
      </c>
      <c r="AA75" s="19"/>
      <c r="AB75" s="19"/>
      <c r="AJ75" s="4">
        <f>[1]données!F75/([1]données!E75/100)^2</f>
        <v>22.87968441814596</v>
      </c>
      <c r="AK75" s="4" t="s">
        <v>108</v>
      </c>
      <c r="AP75" s="2" t="b">
        <v>1</v>
      </c>
      <c r="AQ75" s="2" t="s">
        <v>55</v>
      </c>
    </row>
    <row r="76" spans="1:43" x14ac:dyDescent="0.25">
      <c r="A76" s="7">
        <f t="shared" si="5"/>
        <v>75</v>
      </c>
      <c r="B76" s="2" t="s">
        <v>20</v>
      </c>
      <c r="C76" s="2" t="s">
        <v>21</v>
      </c>
      <c r="D76" s="3">
        <v>33138</v>
      </c>
      <c r="E76" s="2">
        <v>195</v>
      </c>
      <c r="F76" s="2">
        <v>87</v>
      </c>
      <c r="G76" s="2" t="s">
        <v>22</v>
      </c>
      <c r="H76" s="2" t="s">
        <v>35</v>
      </c>
      <c r="I76" s="2">
        <v>26</v>
      </c>
      <c r="J76" s="2" t="b">
        <v>0</v>
      </c>
      <c r="K76" s="2" t="b">
        <v>1</v>
      </c>
      <c r="L76" s="2" t="s">
        <v>55</v>
      </c>
      <c r="M76" s="5" t="s">
        <v>47</v>
      </c>
      <c r="N76" s="3">
        <v>43863</v>
      </c>
      <c r="O76" s="3">
        <v>43878</v>
      </c>
      <c r="P76" s="2" t="s">
        <v>38</v>
      </c>
      <c r="Q76" s="2" t="s">
        <v>26</v>
      </c>
      <c r="R76" s="2" t="s">
        <v>34</v>
      </c>
      <c r="S76" s="5" t="s">
        <v>86</v>
      </c>
      <c r="T76" s="8" t="s">
        <v>49</v>
      </c>
      <c r="U76" s="2">
        <f t="shared" si="4"/>
        <v>22.87968441814596</v>
      </c>
      <c r="V76" s="4" t="s">
        <v>108</v>
      </c>
      <c r="AA76" s="19"/>
      <c r="AB76" s="19"/>
      <c r="AJ76" s="4">
        <f>[1]données!F76/([1]données!E76/100)^2</f>
        <v>22.87968441814596</v>
      </c>
      <c r="AK76" s="4" t="s">
        <v>108</v>
      </c>
      <c r="AP76" s="2" t="b">
        <v>1</v>
      </c>
      <c r="AQ76" s="2" t="s">
        <v>55</v>
      </c>
    </row>
    <row r="77" spans="1:43" x14ac:dyDescent="0.25">
      <c r="A77" s="7">
        <f t="shared" si="5"/>
        <v>76</v>
      </c>
      <c r="B77" s="2" t="s">
        <v>20</v>
      </c>
      <c r="C77" s="2" t="s">
        <v>21</v>
      </c>
      <c r="D77" s="3">
        <v>33138</v>
      </c>
      <c r="E77" s="2">
        <v>195</v>
      </c>
      <c r="F77" s="2">
        <v>87</v>
      </c>
      <c r="G77" s="2" t="s">
        <v>22</v>
      </c>
      <c r="H77" s="2" t="s">
        <v>35</v>
      </c>
      <c r="I77" s="2">
        <v>26</v>
      </c>
      <c r="J77" s="2" t="b">
        <v>0</v>
      </c>
      <c r="K77" s="2" t="b">
        <v>1</v>
      </c>
      <c r="L77" s="2" t="s">
        <v>87</v>
      </c>
      <c r="M77" s="5" t="s">
        <v>94</v>
      </c>
      <c r="N77" s="3">
        <v>43521</v>
      </c>
      <c r="O77" s="3">
        <v>43527</v>
      </c>
      <c r="P77" s="2" t="s">
        <v>42</v>
      </c>
      <c r="Q77" s="2" t="s">
        <v>26</v>
      </c>
      <c r="R77" s="2" t="s">
        <v>52</v>
      </c>
      <c r="S77" s="5" t="s">
        <v>53</v>
      </c>
      <c r="T77" s="8" t="s">
        <v>45</v>
      </c>
      <c r="U77" s="2">
        <f t="shared" si="4"/>
        <v>22.87968441814596</v>
      </c>
      <c r="V77" s="4" t="s">
        <v>108</v>
      </c>
      <c r="AA77" s="19"/>
      <c r="AB77" s="19"/>
      <c r="AJ77" s="4">
        <f>[1]données!F77/([1]données!E77/100)^2</f>
        <v>22.87968441814596</v>
      </c>
      <c r="AK77" s="4" t="s">
        <v>108</v>
      </c>
      <c r="AP77" s="2" t="b">
        <v>1</v>
      </c>
      <c r="AQ77" s="2" t="s">
        <v>87</v>
      </c>
    </row>
    <row r="78" spans="1:43" x14ac:dyDescent="0.25">
      <c r="A78" s="7">
        <f t="shared" si="5"/>
        <v>77</v>
      </c>
      <c r="B78" s="2" t="s">
        <v>20</v>
      </c>
      <c r="C78" s="2" t="s">
        <v>21</v>
      </c>
      <c r="D78" s="3">
        <v>33138</v>
      </c>
      <c r="E78" s="2">
        <v>156</v>
      </c>
      <c r="F78" s="2">
        <v>87</v>
      </c>
      <c r="G78" s="2" t="s">
        <v>22</v>
      </c>
      <c r="H78" s="2" t="s">
        <v>35</v>
      </c>
      <c r="I78" s="2">
        <v>0</v>
      </c>
      <c r="J78" s="2" t="b">
        <v>0</v>
      </c>
      <c r="K78" s="2" t="b">
        <v>1</v>
      </c>
      <c r="L78" s="2" t="s">
        <v>62</v>
      </c>
      <c r="M78" s="5" t="s">
        <v>94</v>
      </c>
      <c r="N78" s="3">
        <v>43878</v>
      </c>
      <c r="O78" s="3">
        <v>43893</v>
      </c>
      <c r="P78" s="2" t="s">
        <v>25</v>
      </c>
      <c r="Q78" s="2" t="s">
        <v>26</v>
      </c>
      <c r="R78" s="2" t="s">
        <v>34</v>
      </c>
      <c r="S78" s="5" t="s">
        <v>28</v>
      </c>
      <c r="T78" s="8" t="s">
        <v>49</v>
      </c>
      <c r="U78" s="2">
        <f t="shared" si="4"/>
        <v>35.749506903353051</v>
      </c>
      <c r="V78" s="4" t="s">
        <v>114</v>
      </c>
      <c r="AA78" s="19"/>
      <c r="AB78" s="19"/>
      <c r="AJ78" s="4">
        <f>[1]données!F78/([1]données!E78/100)^2</f>
        <v>35.749506903353051</v>
      </c>
      <c r="AK78" s="4" t="s">
        <v>114</v>
      </c>
      <c r="AP78" s="2" t="b">
        <v>1</v>
      </c>
      <c r="AQ78" s="2" t="s">
        <v>62</v>
      </c>
    </row>
    <row r="79" spans="1:43" x14ac:dyDescent="0.25">
      <c r="A79" s="7">
        <f t="shared" si="5"/>
        <v>78</v>
      </c>
      <c r="B79" s="2" t="s">
        <v>20</v>
      </c>
      <c r="C79" s="2" t="s">
        <v>21</v>
      </c>
      <c r="D79" s="3">
        <v>33138</v>
      </c>
      <c r="E79" s="2">
        <v>156</v>
      </c>
      <c r="F79" s="2">
        <v>80</v>
      </c>
      <c r="G79" s="2" t="s">
        <v>35</v>
      </c>
      <c r="H79" s="2" t="s">
        <v>35</v>
      </c>
      <c r="I79" s="2">
        <v>0</v>
      </c>
      <c r="J79" s="2" t="b">
        <v>0</v>
      </c>
      <c r="K79" s="2" t="b">
        <v>1</v>
      </c>
      <c r="L79" s="2" t="s">
        <v>62</v>
      </c>
      <c r="M79" s="5" t="s">
        <v>85</v>
      </c>
      <c r="N79" s="3">
        <v>43772</v>
      </c>
      <c r="O79" s="3">
        <v>43837</v>
      </c>
      <c r="P79" s="2" t="s">
        <v>25</v>
      </c>
      <c r="Q79" s="2" t="s">
        <v>26</v>
      </c>
      <c r="R79" s="2" t="s">
        <v>34</v>
      </c>
      <c r="S79" s="5" t="s">
        <v>28</v>
      </c>
      <c r="T79" s="8" t="s">
        <v>29</v>
      </c>
      <c r="U79" s="2">
        <f t="shared" si="4"/>
        <v>32.873109796186718</v>
      </c>
      <c r="V79" s="4" t="s">
        <v>113</v>
      </c>
      <c r="AA79" s="19"/>
      <c r="AB79" s="19"/>
      <c r="AJ79" s="4">
        <f>[1]données!F79/([1]données!E79/100)^2</f>
        <v>32.873109796186718</v>
      </c>
      <c r="AK79" s="4" t="s">
        <v>113</v>
      </c>
      <c r="AP79" s="2" t="b">
        <v>1</v>
      </c>
      <c r="AQ79" s="2" t="s">
        <v>62</v>
      </c>
    </row>
    <row r="80" spans="1:43" x14ac:dyDescent="0.25">
      <c r="A80" s="7">
        <f t="shared" si="5"/>
        <v>79</v>
      </c>
      <c r="B80" s="2" t="s">
        <v>39</v>
      </c>
      <c r="C80" s="2" t="s">
        <v>21</v>
      </c>
      <c r="D80" s="3">
        <v>33138</v>
      </c>
      <c r="E80" s="2">
        <v>156</v>
      </c>
      <c r="F80" s="2">
        <v>80</v>
      </c>
      <c r="G80" s="2" t="s">
        <v>22</v>
      </c>
      <c r="H80" s="2" t="s">
        <v>35</v>
      </c>
      <c r="I80" s="2">
        <v>30</v>
      </c>
      <c r="J80" s="2" t="b">
        <v>0</v>
      </c>
      <c r="K80" s="2" t="b">
        <v>1</v>
      </c>
      <c r="L80" s="2" t="s">
        <v>77</v>
      </c>
      <c r="M80" s="5" t="s">
        <v>63</v>
      </c>
      <c r="N80" s="3">
        <v>43860</v>
      </c>
      <c r="O80" s="3">
        <v>43895</v>
      </c>
      <c r="P80" s="2" t="s">
        <v>25</v>
      </c>
      <c r="Q80" s="2" t="s">
        <v>26</v>
      </c>
      <c r="R80" s="2" t="s">
        <v>34</v>
      </c>
      <c r="S80" s="5" t="s">
        <v>28</v>
      </c>
      <c r="T80" s="8" t="s">
        <v>29</v>
      </c>
      <c r="U80" s="2">
        <f t="shared" si="4"/>
        <v>32.873109796186718</v>
      </c>
      <c r="V80" s="4" t="s">
        <v>113</v>
      </c>
      <c r="AA80" s="19"/>
      <c r="AB80" s="19"/>
      <c r="AJ80" s="4">
        <f>[1]données!F80/([1]données!E80/100)^2</f>
        <v>32.873109796186718</v>
      </c>
      <c r="AK80" s="4" t="s">
        <v>113</v>
      </c>
      <c r="AP80" s="2" t="b">
        <v>1</v>
      </c>
      <c r="AQ80" s="2" t="s">
        <v>77</v>
      </c>
    </row>
    <row r="81" spans="1:43" x14ac:dyDescent="0.25">
      <c r="A81" s="7">
        <f t="shared" si="5"/>
        <v>80</v>
      </c>
      <c r="B81" s="2" t="s">
        <v>20</v>
      </c>
      <c r="C81" s="2" t="s">
        <v>30</v>
      </c>
      <c r="D81" s="3">
        <v>33138</v>
      </c>
      <c r="E81" s="2">
        <v>156</v>
      </c>
      <c r="F81" s="2">
        <v>80</v>
      </c>
      <c r="G81" s="2" t="s">
        <v>31</v>
      </c>
      <c r="H81" s="2" t="s">
        <v>22</v>
      </c>
      <c r="I81" s="2">
        <v>30</v>
      </c>
      <c r="J81" s="2" t="b">
        <v>0</v>
      </c>
      <c r="K81" s="2" t="b">
        <v>1</v>
      </c>
      <c r="L81" s="2" t="s">
        <v>32</v>
      </c>
      <c r="M81" s="5" t="s">
        <v>37</v>
      </c>
      <c r="N81" s="3">
        <v>43831</v>
      </c>
      <c r="O81" s="3">
        <v>43855</v>
      </c>
      <c r="P81" s="2" t="s">
        <v>38</v>
      </c>
      <c r="Q81" s="2" t="s">
        <v>26</v>
      </c>
      <c r="R81" s="2" t="s">
        <v>44</v>
      </c>
      <c r="S81" s="5" t="s">
        <v>86</v>
      </c>
      <c r="T81" s="8" t="s">
        <v>45</v>
      </c>
      <c r="U81" s="2">
        <f t="shared" si="4"/>
        <v>32.873109796186718</v>
      </c>
      <c r="V81" s="4" t="s">
        <v>113</v>
      </c>
      <c r="AA81" s="19"/>
      <c r="AB81" s="19"/>
      <c r="AJ81" s="4">
        <f>[1]données!F81/([1]données!E81/100)^2</f>
        <v>32.873109796186718</v>
      </c>
      <c r="AK81" s="4" t="s">
        <v>113</v>
      </c>
      <c r="AP81" s="2" t="b">
        <v>1</v>
      </c>
      <c r="AQ81" s="2" t="s">
        <v>32</v>
      </c>
    </row>
    <row r="82" spans="1:43" x14ac:dyDescent="0.25">
      <c r="A82" s="7">
        <f t="shared" si="5"/>
        <v>81</v>
      </c>
      <c r="B82" s="2" t="s">
        <v>20</v>
      </c>
      <c r="C82" s="2" t="s">
        <v>30</v>
      </c>
      <c r="D82" s="3">
        <v>38617</v>
      </c>
      <c r="E82" s="2">
        <v>156</v>
      </c>
      <c r="F82" s="2">
        <v>56</v>
      </c>
      <c r="G82" s="2" t="s">
        <v>31</v>
      </c>
      <c r="H82" s="2" t="s">
        <v>22</v>
      </c>
      <c r="I82" s="2">
        <v>33</v>
      </c>
      <c r="J82" s="2" t="b">
        <v>0</v>
      </c>
      <c r="K82" s="2" t="b">
        <v>1</v>
      </c>
      <c r="L82" s="2" t="s">
        <v>32</v>
      </c>
      <c r="M82" s="5" t="s">
        <v>37</v>
      </c>
      <c r="N82" s="3">
        <v>43878</v>
      </c>
      <c r="O82" s="3">
        <v>43891</v>
      </c>
      <c r="P82" s="2" t="s">
        <v>25</v>
      </c>
      <c r="Q82" s="2" t="s">
        <v>26</v>
      </c>
      <c r="R82" s="2" t="s">
        <v>44</v>
      </c>
      <c r="S82" s="5" t="s">
        <v>86</v>
      </c>
      <c r="T82" s="8" t="s">
        <v>45</v>
      </c>
      <c r="U82" s="2">
        <f t="shared" si="4"/>
        <v>23.011176857330703</v>
      </c>
      <c r="V82" s="4" t="s">
        <v>108</v>
      </c>
      <c r="AA82" s="19"/>
      <c r="AB82" s="19"/>
      <c r="AJ82" s="4">
        <f>[1]données!F82/([1]données!E82/100)^2</f>
        <v>23.011176857330703</v>
      </c>
      <c r="AK82" s="4" t="s">
        <v>108</v>
      </c>
      <c r="AP82" s="2" t="b">
        <v>1</v>
      </c>
      <c r="AQ82" s="2" t="s">
        <v>32</v>
      </c>
    </row>
    <row r="83" spans="1:43" x14ac:dyDescent="0.25">
      <c r="A83" s="7">
        <f t="shared" si="5"/>
        <v>82</v>
      </c>
      <c r="B83" s="2" t="s">
        <v>20</v>
      </c>
      <c r="C83" s="2" t="s">
        <v>30</v>
      </c>
      <c r="D83" s="3">
        <v>38617</v>
      </c>
      <c r="E83" s="2">
        <v>176</v>
      </c>
      <c r="F83" s="2">
        <v>40</v>
      </c>
      <c r="G83" s="2" t="s">
        <v>31</v>
      </c>
      <c r="H83" s="2" t="s">
        <v>22</v>
      </c>
      <c r="I83" s="2">
        <v>33</v>
      </c>
      <c r="J83" s="2" t="b">
        <v>0</v>
      </c>
      <c r="K83" s="2" t="b">
        <v>1</v>
      </c>
      <c r="L83" s="2" t="s">
        <v>32</v>
      </c>
      <c r="M83" s="5" t="s">
        <v>37</v>
      </c>
      <c r="N83" s="3">
        <v>43604</v>
      </c>
      <c r="O83" s="3">
        <v>43610</v>
      </c>
      <c r="P83" s="2" t="s">
        <v>42</v>
      </c>
      <c r="Q83" s="2" t="s">
        <v>26</v>
      </c>
      <c r="R83" s="2" t="s">
        <v>44</v>
      </c>
      <c r="S83" s="5" t="s">
        <v>82</v>
      </c>
      <c r="T83" s="8" t="s">
        <v>45</v>
      </c>
      <c r="U83" s="2">
        <f t="shared" si="4"/>
        <v>12.913223140495868</v>
      </c>
      <c r="V83" s="4" t="s">
        <v>111</v>
      </c>
      <c r="AA83" s="19"/>
      <c r="AB83" s="19"/>
      <c r="AJ83" s="4">
        <f>[1]données!F83/([1]données!E83/100)^2</f>
        <v>12.913223140495868</v>
      </c>
      <c r="AK83" s="4" t="s">
        <v>111</v>
      </c>
      <c r="AP83" s="2" t="b">
        <v>1</v>
      </c>
      <c r="AQ83" s="2" t="s">
        <v>32</v>
      </c>
    </row>
    <row r="84" spans="1:43" x14ac:dyDescent="0.25">
      <c r="A84" s="7">
        <f t="shared" si="5"/>
        <v>83</v>
      </c>
      <c r="B84" s="2" t="s">
        <v>20</v>
      </c>
      <c r="C84" s="2" t="s">
        <v>30</v>
      </c>
      <c r="D84" s="3">
        <v>38617</v>
      </c>
      <c r="E84" s="2">
        <v>195</v>
      </c>
      <c r="F84" s="2">
        <v>51</v>
      </c>
      <c r="G84" s="2" t="s">
        <v>31</v>
      </c>
      <c r="H84" s="2" t="s">
        <v>22</v>
      </c>
      <c r="I84" s="2">
        <v>3</v>
      </c>
      <c r="J84" s="2" t="b">
        <v>0</v>
      </c>
      <c r="K84" s="2" t="b">
        <v>1</v>
      </c>
      <c r="L84" s="2" t="s">
        <v>81</v>
      </c>
      <c r="M84" s="5" t="s">
        <v>37</v>
      </c>
      <c r="N84" s="3">
        <v>43772</v>
      </c>
      <c r="O84" s="3">
        <v>43837</v>
      </c>
      <c r="P84" s="2" t="s">
        <v>42</v>
      </c>
      <c r="Q84" s="2" t="s">
        <v>26</v>
      </c>
      <c r="R84" s="2" t="s">
        <v>44</v>
      </c>
      <c r="S84" s="5" t="s">
        <v>82</v>
      </c>
      <c r="T84" s="8" t="s">
        <v>45</v>
      </c>
      <c r="U84" s="2">
        <f t="shared" si="4"/>
        <v>13.412228796844182</v>
      </c>
      <c r="V84" s="4" t="s">
        <v>111</v>
      </c>
      <c r="AA84" s="19"/>
      <c r="AB84" s="19"/>
      <c r="AJ84" s="4">
        <f>[1]données!F84/([1]données!E84/100)^2</f>
        <v>13.412228796844182</v>
      </c>
      <c r="AK84" s="4" t="s">
        <v>111</v>
      </c>
      <c r="AP84" s="2" t="b">
        <v>1</v>
      </c>
      <c r="AQ84" s="2" t="s">
        <v>81</v>
      </c>
    </row>
    <row r="85" spans="1:43" x14ac:dyDescent="0.25">
      <c r="A85" s="7">
        <f t="shared" si="5"/>
        <v>84</v>
      </c>
      <c r="B85" s="2" t="s">
        <v>39</v>
      </c>
      <c r="C85" s="2" t="s">
        <v>21</v>
      </c>
      <c r="D85" s="3">
        <v>38617</v>
      </c>
      <c r="E85" s="2">
        <v>195</v>
      </c>
      <c r="F85" s="2">
        <v>51</v>
      </c>
      <c r="G85" s="2" t="s">
        <v>22</v>
      </c>
      <c r="H85" s="2" t="s">
        <v>35</v>
      </c>
      <c r="I85" s="2">
        <v>23</v>
      </c>
      <c r="J85" s="2" t="b">
        <v>0</v>
      </c>
      <c r="K85" s="2" t="b">
        <v>1</v>
      </c>
      <c r="L85" s="2" t="s">
        <v>81</v>
      </c>
      <c r="M85" s="5" t="s">
        <v>37</v>
      </c>
      <c r="N85" s="3">
        <v>43683</v>
      </c>
      <c r="O85" s="3">
        <v>43710</v>
      </c>
      <c r="P85" s="2" t="s">
        <v>38</v>
      </c>
      <c r="Q85" s="2" t="s">
        <v>26</v>
      </c>
      <c r="R85" s="2" t="s">
        <v>44</v>
      </c>
      <c r="S85" s="5" t="s">
        <v>82</v>
      </c>
      <c r="T85" s="8" t="s">
        <v>49</v>
      </c>
      <c r="U85" s="2">
        <f t="shared" si="4"/>
        <v>13.412228796844182</v>
      </c>
      <c r="V85" s="4" t="s">
        <v>111</v>
      </c>
      <c r="AA85" s="19"/>
      <c r="AB85" s="19"/>
      <c r="AJ85" s="4">
        <f>[1]données!F85/([1]données!E85/100)^2</f>
        <v>13.412228796844182</v>
      </c>
      <c r="AK85" s="4" t="s">
        <v>111</v>
      </c>
      <c r="AP85" s="2" t="b">
        <v>1</v>
      </c>
      <c r="AQ85" s="2" t="s">
        <v>81</v>
      </c>
    </row>
    <row r="86" spans="1:43" x14ac:dyDescent="0.25">
      <c r="A86" s="7">
        <f t="shared" si="5"/>
        <v>85</v>
      </c>
      <c r="B86" s="2" t="s">
        <v>20</v>
      </c>
      <c r="C86" s="2" t="s">
        <v>30</v>
      </c>
      <c r="D86" s="3">
        <v>38617</v>
      </c>
      <c r="E86" s="2">
        <v>185</v>
      </c>
      <c r="F86" s="2">
        <v>71</v>
      </c>
      <c r="G86" s="2" t="s">
        <v>31</v>
      </c>
      <c r="H86" s="2" t="s">
        <v>35</v>
      </c>
      <c r="I86" s="2">
        <v>2</v>
      </c>
      <c r="J86" s="2" t="b">
        <v>0</v>
      </c>
      <c r="K86" s="2" t="b">
        <v>1</v>
      </c>
      <c r="L86" s="2" t="s">
        <v>59</v>
      </c>
      <c r="M86" s="5" t="s">
        <v>54</v>
      </c>
      <c r="N86" s="3">
        <v>43863</v>
      </c>
      <c r="O86" s="3">
        <v>43878</v>
      </c>
      <c r="P86" s="2" t="s">
        <v>38</v>
      </c>
      <c r="Q86" s="2" t="s">
        <v>26</v>
      </c>
      <c r="R86" s="2" t="s">
        <v>27</v>
      </c>
      <c r="S86" s="5" t="s">
        <v>28</v>
      </c>
      <c r="T86" s="8" t="s">
        <v>45</v>
      </c>
      <c r="U86" s="2">
        <f t="shared" si="4"/>
        <v>20.74506939371804</v>
      </c>
      <c r="V86" s="4" t="s">
        <v>108</v>
      </c>
      <c r="AA86" s="19"/>
      <c r="AB86" s="19"/>
      <c r="AJ86" s="4">
        <f>[1]données!F86/([1]données!E86/100)^2</f>
        <v>20.74506939371804</v>
      </c>
      <c r="AK86" s="4" t="s">
        <v>108</v>
      </c>
      <c r="AP86" s="2" t="b">
        <v>1</v>
      </c>
      <c r="AQ86" s="2" t="s">
        <v>59</v>
      </c>
    </row>
    <row r="87" spans="1:43" x14ac:dyDescent="0.25">
      <c r="A87" s="7">
        <f t="shared" si="5"/>
        <v>86</v>
      </c>
      <c r="B87" s="2" t="s">
        <v>39</v>
      </c>
      <c r="C87" s="2" t="s">
        <v>30</v>
      </c>
      <c r="D87" s="3">
        <v>36791</v>
      </c>
      <c r="E87" s="2">
        <v>155</v>
      </c>
      <c r="F87" s="2">
        <v>71</v>
      </c>
      <c r="G87" s="2" t="s">
        <v>31</v>
      </c>
      <c r="H87" s="2" t="s">
        <v>35</v>
      </c>
      <c r="I87" s="2">
        <v>26</v>
      </c>
      <c r="J87" s="2" t="b">
        <v>1</v>
      </c>
      <c r="K87" s="2" t="b">
        <v>1</v>
      </c>
      <c r="L87" s="2" t="s">
        <v>59</v>
      </c>
      <c r="M87" s="5" t="s">
        <v>54</v>
      </c>
      <c r="N87" s="3">
        <v>43860</v>
      </c>
      <c r="O87" s="3">
        <v>43895</v>
      </c>
      <c r="P87" s="2" t="s">
        <v>38</v>
      </c>
      <c r="Q87" s="2" t="s">
        <v>26</v>
      </c>
      <c r="R87" s="2" t="s">
        <v>27</v>
      </c>
      <c r="S87" s="5" t="s">
        <v>28</v>
      </c>
      <c r="T87" s="8" t="s">
        <v>45</v>
      </c>
      <c r="U87" s="2">
        <f t="shared" si="4"/>
        <v>29.552549427679498</v>
      </c>
      <c r="V87" s="4" t="s">
        <v>109</v>
      </c>
      <c r="AA87" s="19"/>
      <c r="AB87" s="19"/>
      <c r="AJ87" s="4">
        <f>[1]données!F87/([1]données!E87/100)^2</f>
        <v>29.552549427679498</v>
      </c>
      <c r="AK87" s="4" t="s">
        <v>109</v>
      </c>
      <c r="AP87" s="2" t="b">
        <v>1</v>
      </c>
      <c r="AQ87" s="2" t="s">
        <v>59</v>
      </c>
    </row>
    <row r="88" spans="1:43" x14ac:dyDescent="0.25">
      <c r="A88" s="7">
        <f t="shared" si="5"/>
        <v>87</v>
      </c>
      <c r="B88" s="2" t="s">
        <v>20</v>
      </c>
      <c r="C88" s="2" t="s">
        <v>21</v>
      </c>
      <c r="D88" s="3">
        <v>34964</v>
      </c>
      <c r="E88" s="2">
        <v>155</v>
      </c>
      <c r="F88" s="2">
        <v>71</v>
      </c>
      <c r="G88" s="2" t="s">
        <v>22</v>
      </c>
      <c r="H88" s="2" t="s">
        <v>35</v>
      </c>
      <c r="I88" s="2">
        <v>6</v>
      </c>
      <c r="J88" s="2" t="b">
        <v>0</v>
      </c>
      <c r="K88" s="2" t="b">
        <v>1</v>
      </c>
      <c r="L88" s="2" t="s">
        <v>97</v>
      </c>
      <c r="M88" s="5" t="s">
        <v>102</v>
      </c>
      <c r="N88" s="3">
        <v>43878</v>
      </c>
      <c r="O88" s="3">
        <v>43893</v>
      </c>
      <c r="P88" s="2" t="s">
        <v>38</v>
      </c>
      <c r="Q88" s="2" t="s">
        <v>26</v>
      </c>
      <c r="R88" s="2" t="s">
        <v>44</v>
      </c>
      <c r="S88" s="5" t="s">
        <v>28</v>
      </c>
      <c r="T88" s="8" t="s">
        <v>49</v>
      </c>
      <c r="U88" s="2">
        <f t="shared" si="4"/>
        <v>29.552549427679498</v>
      </c>
      <c r="V88" s="4" t="s">
        <v>109</v>
      </c>
      <c r="AA88" s="19"/>
      <c r="AB88" s="19"/>
      <c r="AJ88" s="4">
        <f>[1]données!F88/([1]données!E88/100)^2</f>
        <v>29.552549427679498</v>
      </c>
      <c r="AK88" s="4" t="s">
        <v>109</v>
      </c>
      <c r="AP88" s="2" t="b">
        <v>1</v>
      </c>
      <c r="AQ88" s="2" t="s">
        <v>97</v>
      </c>
    </row>
    <row r="89" spans="1:43" x14ac:dyDescent="0.25">
      <c r="A89" s="7">
        <f t="shared" si="5"/>
        <v>88</v>
      </c>
      <c r="B89" s="2" t="s">
        <v>20</v>
      </c>
      <c r="C89" s="2" t="s">
        <v>21</v>
      </c>
      <c r="D89" s="3">
        <v>18893</v>
      </c>
      <c r="E89" s="2">
        <v>165</v>
      </c>
      <c r="F89" s="2">
        <v>71</v>
      </c>
      <c r="G89" s="2" t="s">
        <v>22</v>
      </c>
      <c r="H89" s="2" t="s">
        <v>35</v>
      </c>
      <c r="I89" s="2">
        <v>6</v>
      </c>
      <c r="J89" s="2" t="b">
        <v>0</v>
      </c>
      <c r="K89" s="2" t="b">
        <v>1</v>
      </c>
      <c r="L89" s="2" t="s">
        <v>36</v>
      </c>
      <c r="M89" s="5" t="s">
        <v>103</v>
      </c>
      <c r="N89" s="3">
        <v>43831</v>
      </c>
      <c r="O89" s="3">
        <v>43855</v>
      </c>
      <c r="P89" s="2" t="s">
        <v>42</v>
      </c>
      <c r="Q89" s="2" t="s">
        <v>26</v>
      </c>
      <c r="R89" s="2" t="s">
        <v>52</v>
      </c>
      <c r="S89" s="5" t="s">
        <v>53</v>
      </c>
      <c r="T89" s="8" t="s">
        <v>49</v>
      </c>
      <c r="U89" s="2">
        <f t="shared" si="4"/>
        <v>26.078971533516992</v>
      </c>
      <c r="V89" s="4" t="s">
        <v>109</v>
      </c>
      <c r="AA89" s="19"/>
      <c r="AB89" s="19"/>
      <c r="AJ89" s="4">
        <f>[1]données!F89/([1]données!E89/100)^2</f>
        <v>26.078971533516992</v>
      </c>
      <c r="AK89" s="4" t="s">
        <v>109</v>
      </c>
      <c r="AP89" s="2" t="b">
        <v>1</v>
      </c>
      <c r="AQ89" s="2" t="s">
        <v>36</v>
      </c>
    </row>
    <row r="90" spans="1:43" x14ac:dyDescent="0.25">
      <c r="A90" s="7">
        <f t="shared" si="5"/>
        <v>89</v>
      </c>
      <c r="B90" s="2" t="s">
        <v>20</v>
      </c>
      <c r="C90" s="2" t="s">
        <v>30</v>
      </c>
      <c r="D90" s="3">
        <v>29851</v>
      </c>
      <c r="E90" s="2">
        <v>165</v>
      </c>
      <c r="F90" s="2">
        <v>81</v>
      </c>
      <c r="G90" s="2" t="s">
        <v>31</v>
      </c>
      <c r="H90" s="2" t="s">
        <v>35</v>
      </c>
      <c r="I90" s="2">
        <v>16</v>
      </c>
      <c r="J90" s="2" t="b">
        <v>1</v>
      </c>
      <c r="K90" s="2" t="b">
        <v>1</v>
      </c>
      <c r="L90" s="2" t="s">
        <v>36</v>
      </c>
      <c r="M90" s="5" t="s">
        <v>58</v>
      </c>
      <c r="N90" s="3">
        <v>43878</v>
      </c>
      <c r="O90" s="3">
        <v>43891</v>
      </c>
      <c r="P90" s="2" t="s">
        <v>25</v>
      </c>
      <c r="Q90" s="2" t="s">
        <v>26</v>
      </c>
      <c r="R90" s="2" t="s">
        <v>27</v>
      </c>
      <c r="S90" s="5" t="s">
        <v>28</v>
      </c>
      <c r="T90" s="8" t="s">
        <v>45</v>
      </c>
      <c r="U90" s="2">
        <f t="shared" si="4"/>
        <v>29.752066115702483</v>
      </c>
      <c r="V90" s="4" t="s">
        <v>109</v>
      </c>
      <c r="AA90" s="19"/>
      <c r="AB90" s="19"/>
      <c r="AJ90" s="4">
        <f>[1]données!F90/([1]données!E90/100)^2</f>
        <v>29.752066115702483</v>
      </c>
      <c r="AK90" s="4" t="s">
        <v>109</v>
      </c>
      <c r="AP90" s="2" t="b">
        <v>1</v>
      </c>
      <c r="AQ90" s="2" t="s">
        <v>36</v>
      </c>
    </row>
    <row r="91" spans="1:43" x14ac:dyDescent="0.25">
      <c r="A91" s="7">
        <f t="shared" si="5"/>
        <v>90</v>
      </c>
      <c r="B91" s="2" t="s">
        <v>39</v>
      </c>
      <c r="C91" s="2" t="s">
        <v>30</v>
      </c>
      <c r="D91" s="3">
        <v>33534</v>
      </c>
      <c r="E91" s="2">
        <v>175</v>
      </c>
      <c r="F91" s="2">
        <v>91</v>
      </c>
      <c r="G91" s="2" t="s">
        <v>31</v>
      </c>
      <c r="H91" s="2" t="s">
        <v>35</v>
      </c>
      <c r="I91" s="2">
        <v>6</v>
      </c>
      <c r="J91" s="2" t="b">
        <v>1</v>
      </c>
      <c r="K91" s="2" t="b">
        <v>1</v>
      </c>
      <c r="L91" s="2" t="s">
        <v>36</v>
      </c>
      <c r="M91" s="5" t="s">
        <v>85</v>
      </c>
      <c r="N91" s="3">
        <v>43604</v>
      </c>
      <c r="O91" s="3">
        <v>43610</v>
      </c>
      <c r="P91" s="2" t="s">
        <v>38</v>
      </c>
      <c r="Q91" s="2" t="s">
        <v>26</v>
      </c>
      <c r="R91" s="2" t="s">
        <v>27</v>
      </c>
      <c r="S91" s="5" t="s">
        <v>28</v>
      </c>
      <c r="T91" s="8" t="s">
        <v>29</v>
      </c>
      <c r="U91" s="2">
        <f t="shared" si="4"/>
        <v>29.714285714285715</v>
      </c>
      <c r="V91" s="4" t="s">
        <v>109</v>
      </c>
      <c r="AA91" s="19"/>
      <c r="AB91" s="19"/>
      <c r="AJ91" s="4">
        <f>[1]données!F91/([1]données!E91/100)^2</f>
        <v>29.714285714285715</v>
      </c>
      <c r="AK91" s="4" t="s">
        <v>109</v>
      </c>
      <c r="AP91" s="2" t="b">
        <v>1</v>
      </c>
      <c r="AQ91" s="2" t="s">
        <v>36</v>
      </c>
    </row>
    <row r="92" spans="1:43" x14ac:dyDescent="0.25">
      <c r="A92" s="7">
        <f t="shared" si="5"/>
        <v>91</v>
      </c>
      <c r="B92" s="2" t="s">
        <v>39</v>
      </c>
      <c r="C92" s="2" t="s">
        <v>30</v>
      </c>
      <c r="D92" s="3">
        <v>33534</v>
      </c>
      <c r="E92" s="2">
        <v>160</v>
      </c>
      <c r="F92" s="2">
        <v>91</v>
      </c>
      <c r="G92" s="2" t="s">
        <v>31</v>
      </c>
      <c r="H92" s="2" t="s">
        <v>35</v>
      </c>
      <c r="I92" s="2">
        <v>0</v>
      </c>
      <c r="J92" s="2" t="b">
        <v>0</v>
      </c>
      <c r="K92" s="2" t="b">
        <v>1</v>
      </c>
      <c r="L92" s="2" t="s">
        <v>70</v>
      </c>
      <c r="M92" s="5" t="s">
        <v>88</v>
      </c>
      <c r="N92" s="3">
        <v>43772</v>
      </c>
      <c r="O92" s="3">
        <v>43837</v>
      </c>
      <c r="P92" s="2" t="s">
        <v>42</v>
      </c>
      <c r="Q92" s="2" t="s">
        <v>43</v>
      </c>
      <c r="R92" s="2" t="s">
        <v>52</v>
      </c>
      <c r="S92" s="5" t="s">
        <v>82</v>
      </c>
      <c r="T92" s="8" t="s">
        <v>29</v>
      </c>
      <c r="U92" s="2">
        <f t="shared" si="4"/>
        <v>35.546874999999993</v>
      </c>
      <c r="V92" s="4" t="s">
        <v>114</v>
      </c>
      <c r="AA92" s="19"/>
      <c r="AB92" s="19"/>
      <c r="AJ92" s="4">
        <f>[1]données!F92/([1]données!E92/100)^2</f>
        <v>35.546874999999993</v>
      </c>
      <c r="AK92" s="4" t="s">
        <v>114</v>
      </c>
      <c r="AP92" s="2" t="b">
        <v>1</v>
      </c>
      <c r="AQ92" s="2" t="s">
        <v>70</v>
      </c>
    </row>
    <row r="93" spans="1:43" x14ac:dyDescent="0.25">
      <c r="A93" s="7">
        <f t="shared" si="5"/>
        <v>92</v>
      </c>
      <c r="B93" s="2" t="s">
        <v>20</v>
      </c>
      <c r="C93" s="2" t="s">
        <v>30</v>
      </c>
      <c r="D93" s="3">
        <v>18072</v>
      </c>
      <c r="E93" s="2">
        <v>173</v>
      </c>
      <c r="F93" s="2">
        <v>72</v>
      </c>
      <c r="G93" s="2" t="s">
        <v>31</v>
      </c>
      <c r="H93" s="2" t="s">
        <v>35</v>
      </c>
      <c r="I93" s="2">
        <v>0</v>
      </c>
      <c r="J93" s="2" t="b">
        <v>0</v>
      </c>
      <c r="K93" s="2" t="b">
        <v>1</v>
      </c>
      <c r="L93" s="2" t="s">
        <v>70</v>
      </c>
      <c r="M93" s="5" t="s">
        <v>88</v>
      </c>
      <c r="N93" s="3">
        <v>43835</v>
      </c>
      <c r="O93" s="3">
        <v>43837</v>
      </c>
      <c r="P93" s="2" t="s">
        <v>42</v>
      </c>
      <c r="Q93" s="2" t="s">
        <v>43</v>
      </c>
      <c r="R93" s="2" t="s">
        <v>44</v>
      </c>
      <c r="S93" s="5" t="s">
        <v>82</v>
      </c>
      <c r="T93" s="8" t="s">
        <v>49</v>
      </c>
      <c r="U93" s="2">
        <f t="shared" si="4"/>
        <v>24.056934745564501</v>
      </c>
      <c r="V93" s="4" t="s">
        <v>108</v>
      </c>
      <c r="AA93" s="19"/>
      <c r="AB93" s="19"/>
      <c r="AJ93" s="4">
        <f>[1]données!F93/([1]données!E93/100)^2</f>
        <v>24.056934745564501</v>
      </c>
      <c r="AK93" s="4" t="s">
        <v>108</v>
      </c>
      <c r="AP93" s="2" t="b">
        <v>1</v>
      </c>
      <c r="AQ93" s="2" t="s">
        <v>70</v>
      </c>
    </row>
    <row r="94" spans="1:43" x14ac:dyDescent="0.25">
      <c r="A94" s="7">
        <f t="shared" si="5"/>
        <v>93</v>
      </c>
      <c r="B94" s="2" t="s">
        <v>39</v>
      </c>
      <c r="C94" s="2" t="s">
        <v>21</v>
      </c>
      <c r="D94" s="3">
        <v>34612</v>
      </c>
      <c r="E94" s="2">
        <v>187</v>
      </c>
      <c r="F94" s="2">
        <v>59</v>
      </c>
      <c r="G94" s="2" t="s">
        <v>22</v>
      </c>
      <c r="H94" s="2" t="s">
        <v>22</v>
      </c>
      <c r="I94" s="2">
        <v>18</v>
      </c>
      <c r="J94" s="2" t="b">
        <v>0</v>
      </c>
      <c r="K94" s="2" t="b">
        <v>1</v>
      </c>
      <c r="L94" s="2" t="s">
        <v>92</v>
      </c>
      <c r="M94" s="5" t="s">
        <v>104</v>
      </c>
      <c r="N94" s="3">
        <v>43860</v>
      </c>
      <c r="O94" s="3">
        <v>43895</v>
      </c>
      <c r="P94" s="2" t="s">
        <v>38</v>
      </c>
      <c r="Q94" s="2" t="s">
        <v>26</v>
      </c>
      <c r="R94" s="2" t="s">
        <v>27</v>
      </c>
      <c r="S94" s="5" t="s">
        <v>99</v>
      </c>
      <c r="T94" s="8" t="s">
        <v>45</v>
      </c>
      <c r="U94" s="2">
        <f t="shared" si="4"/>
        <v>16.872086705367607</v>
      </c>
      <c r="V94" s="4" t="s">
        <v>112</v>
      </c>
      <c r="AA94" s="19"/>
      <c r="AB94" s="19"/>
      <c r="AJ94" s="4">
        <f>[1]données!F94/([1]données!E94/100)^2</f>
        <v>16.872086705367607</v>
      </c>
      <c r="AK94" s="4" t="s">
        <v>112</v>
      </c>
      <c r="AP94" s="2" t="b">
        <v>1</v>
      </c>
      <c r="AQ94" s="2" t="s">
        <v>92</v>
      </c>
    </row>
    <row r="95" spans="1:43" x14ac:dyDescent="0.25">
      <c r="A95" s="7">
        <f t="shared" si="5"/>
        <v>94</v>
      </c>
      <c r="B95" s="2" t="s">
        <v>20</v>
      </c>
      <c r="C95" s="2" t="s">
        <v>21</v>
      </c>
      <c r="D95" s="3">
        <v>30962</v>
      </c>
      <c r="E95" s="2">
        <v>180</v>
      </c>
      <c r="F95" s="2">
        <v>91</v>
      </c>
      <c r="G95" s="2" t="s">
        <v>22</v>
      </c>
      <c r="H95" s="2" t="s">
        <v>22</v>
      </c>
      <c r="I95" s="2">
        <v>8</v>
      </c>
      <c r="J95" s="2" t="b">
        <v>0</v>
      </c>
      <c r="K95" s="2" t="b">
        <v>1</v>
      </c>
      <c r="L95" s="2" t="s">
        <v>92</v>
      </c>
      <c r="M95" s="5" t="s">
        <v>104</v>
      </c>
      <c r="N95" s="3">
        <v>43863</v>
      </c>
      <c r="O95" s="3">
        <v>43878</v>
      </c>
      <c r="P95" s="2" t="s">
        <v>42</v>
      </c>
      <c r="Q95" s="2" t="s">
        <v>43</v>
      </c>
      <c r="R95" s="2" t="s">
        <v>44</v>
      </c>
      <c r="S95" s="5" t="s">
        <v>82</v>
      </c>
      <c r="T95" s="8" t="s">
        <v>45</v>
      </c>
      <c r="U95" s="2">
        <f t="shared" si="4"/>
        <v>28.086419753086417</v>
      </c>
      <c r="V95" s="4" t="s">
        <v>109</v>
      </c>
      <c r="AA95" s="19"/>
      <c r="AB95" s="19"/>
      <c r="AJ95" s="4">
        <f>[1]données!F95/([1]données!E95/100)^2</f>
        <v>28.086419753086417</v>
      </c>
      <c r="AK95" s="4" t="s">
        <v>109</v>
      </c>
      <c r="AP95" s="2" t="b">
        <v>1</v>
      </c>
      <c r="AQ95" s="2" t="s">
        <v>92</v>
      </c>
    </row>
    <row r="96" spans="1:43" x14ac:dyDescent="0.25">
      <c r="A96" s="7">
        <f t="shared" si="5"/>
        <v>95</v>
      </c>
      <c r="B96" s="2" t="s">
        <v>20</v>
      </c>
      <c r="C96" s="2" t="s">
        <v>21</v>
      </c>
      <c r="D96" s="3">
        <v>36440</v>
      </c>
      <c r="E96" s="2">
        <v>180</v>
      </c>
      <c r="F96" s="2">
        <v>54</v>
      </c>
      <c r="G96" s="2" t="s">
        <v>22</v>
      </c>
      <c r="H96" s="2" t="s">
        <v>22</v>
      </c>
      <c r="I96" s="2">
        <v>0</v>
      </c>
      <c r="J96" s="2" t="b">
        <v>0</v>
      </c>
      <c r="K96" s="2" t="b">
        <v>1</v>
      </c>
      <c r="L96" s="2" t="s">
        <v>64</v>
      </c>
      <c r="M96" s="5" t="s">
        <v>75</v>
      </c>
      <c r="N96" s="3">
        <v>43683</v>
      </c>
      <c r="O96" s="3">
        <v>43710</v>
      </c>
      <c r="P96" s="2" t="s">
        <v>38</v>
      </c>
      <c r="Q96" s="2" t="s">
        <v>26</v>
      </c>
      <c r="R96" s="2" t="s">
        <v>27</v>
      </c>
      <c r="S96" s="5" t="s">
        <v>28</v>
      </c>
      <c r="T96" s="8" t="s">
        <v>29</v>
      </c>
      <c r="U96" s="2">
        <f t="shared" si="4"/>
        <v>16.666666666666664</v>
      </c>
      <c r="V96" s="4" t="s">
        <v>112</v>
      </c>
      <c r="AA96" s="19"/>
      <c r="AB96" s="19"/>
      <c r="AJ96" s="4">
        <f>[1]données!F96/([1]données!E96/100)^2</f>
        <v>16.666666666666664</v>
      </c>
      <c r="AK96" s="4" t="s">
        <v>112</v>
      </c>
      <c r="AP96" s="2" t="b">
        <v>1</v>
      </c>
      <c r="AQ96" s="2" t="s">
        <v>64</v>
      </c>
    </row>
    <row r="97" spans="1:43" x14ac:dyDescent="0.25">
      <c r="A97" s="7">
        <f t="shared" si="5"/>
        <v>96</v>
      </c>
      <c r="B97" s="2" t="s">
        <v>20</v>
      </c>
      <c r="C97" s="2" t="s">
        <v>21</v>
      </c>
      <c r="D97" s="3">
        <v>20735</v>
      </c>
      <c r="E97" s="2">
        <v>180</v>
      </c>
      <c r="F97" s="2">
        <v>84</v>
      </c>
      <c r="G97" s="2" t="s">
        <v>22</v>
      </c>
      <c r="H97" s="2" t="s">
        <v>22</v>
      </c>
      <c r="I97" s="2">
        <v>30</v>
      </c>
      <c r="J97" s="2" t="b">
        <v>0</v>
      </c>
      <c r="K97" s="2" t="b">
        <v>1</v>
      </c>
      <c r="L97" s="2" t="s">
        <v>76</v>
      </c>
      <c r="M97" s="5" t="s">
        <v>75</v>
      </c>
      <c r="N97" s="3">
        <v>43878</v>
      </c>
      <c r="O97" s="3">
        <v>43893</v>
      </c>
      <c r="P97" s="2" t="s">
        <v>25</v>
      </c>
      <c r="Q97" s="2" t="s">
        <v>26</v>
      </c>
      <c r="R97" s="2" t="s">
        <v>27</v>
      </c>
      <c r="S97" s="5" t="s">
        <v>28</v>
      </c>
      <c r="T97" s="8" t="s">
        <v>29</v>
      </c>
      <c r="U97" s="2">
        <f t="shared" si="4"/>
        <v>25.925925925925924</v>
      </c>
      <c r="V97" s="4" t="s">
        <v>109</v>
      </c>
      <c r="AA97" s="19"/>
      <c r="AB97" s="19"/>
      <c r="AJ97" s="4">
        <f>[1]données!F97/([1]données!E97/100)^2</f>
        <v>25.925925925925924</v>
      </c>
      <c r="AK97" s="4" t="s">
        <v>109</v>
      </c>
      <c r="AP97" s="2" t="b">
        <v>1</v>
      </c>
      <c r="AQ97" s="2" t="s">
        <v>76</v>
      </c>
    </row>
    <row r="98" spans="1:43" x14ac:dyDescent="0.25">
      <c r="A98" s="7">
        <f t="shared" si="5"/>
        <v>97</v>
      </c>
      <c r="B98" s="2" t="s">
        <v>20</v>
      </c>
      <c r="C98" s="2" t="s">
        <v>21</v>
      </c>
      <c r="D98" s="3">
        <v>20735</v>
      </c>
      <c r="E98" s="2">
        <v>180</v>
      </c>
      <c r="F98" s="2">
        <v>84</v>
      </c>
      <c r="G98" s="2" t="s">
        <v>22</v>
      </c>
      <c r="H98" s="2" t="s">
        <v>22</v>
      </c>
      <c r="I98" s="2">
        <v>0</v>
      </c>
      <c r="J98" s="2" t="b">
        <v>0</v>
      </c>
      <c r="K98" s="2" t="b">
        <v>1</v>
      </c>
      <c r="L98" s="2" t="s">
        <v>87</v>
      </c>
      <c r="M98" s="5" t="s">
        <v>88</v>
      </c>
      <c r="N98" s="3">
        <v>43860</v>
      </c>
      <c r="O98" s="3">
        <v>43895</v>
      </c>
      <c r="P98" s="2" t="s">
        <v>42</v>
      </c>
      <c r="Q98" s="2" t="s">
        <v>43</v>
      </c>
      <c r="R98" s="2" t="s">
        <v>52</v>
      </c>
      <c r="S98" s="5" t="s">
        <v>53</v>
      </c>
      <c r="T98" s="8" t="s">
        <v>45</v>
      </c>
      <c r="U98" s="2">
        <f t="shared" si="4"/>
        <v>25.925925925925924</v>
      </c>
      <c r="V98" s="4" t="s">
        <v>109</v>
      </c>
      <c r="AA98" s="19"/>
      <c r="AB98" s="19"/>
      <c r="AJ98" s="4">
        <f>[1]données!F98/([1]données!E98/100)^2</f>
        <v>25.925925925925924</v>
      </c>
      <c r="AK98" s="4" t="s">
        <v>109</v>
      </c>
      <c r="AP98" s="2" t="b">
        <v>1</v>
      </c>
      <c r="AQ98" s="2" t="s">
        <v>87</v>
      </c>
    </row>
    <row r="99" spans="1:43" x14ac:dyDescent="0.25">
      <c r="A99" s="7">
        <f t="shared" si="5"/>
        <v>98</v>
      </c>
      <c r="B99" s="2" t="s">
        <v>39</v>
      </c>
      <c r="C99" s="2" t="s">
        <v>21</v>
      </c>
      <c r="D99" s="3">
        <v>36075</v>
      </c>
      <c r="E99" s="2">
        <v>165</v>
      </c>
      <c r="F99" s="2">
        <v>96</v>
      </c>
      <c r="G99" s="2" t="s">
        <v>22</v>
      </c>
      <c r="H99" s="2" t="s">
        <v>22</v>
      </c>
      <c r="I99" s="2">
        <v>30</v>
      </c>
      <c r="J99" s="2" t="b">
        <v>0</v>
      </c>
      <c r="K99" s="2" t="b">
        <v>1</v>
      </c>
      <c r="L99" s="2" t="s">
        <v>73</v>
      </c>
      <c r="M99" s="5" t="s">
        <v>105</v>
      </c>
      <c r="N99" s="3">
        <v>43831</v>
      </c>
      <c r="O99" s="3">
        <v>43855</v>
      </c>
      <c r="P99" s="2" t="s">
        <v>25</v>
      </c>
      <c r="Q99" s="2" t="s">
        <v>26</v>
      </c>
      <c r="R99" s="2" t="s">
        <v>27</v>
      </c>
      <c r="S99" s="5" t="s">
        <v>28</v>
      </c>
      <c r="T99" s="8" t="s">
        <v>29</v>
      </c>
      <c r="U99" s="2">
        <f t="shared" si="4"/>
        <v>35.261707988980717</v>
      </c>
      <c r="V99" s="4" t="s">
        <v>114</v>
      </c>
      <c r="AA99" s="19"/>
      <c r="AB99" s="19"/>
      <c r="AJ99" s="4">
        <f>[1]données!F99/([1]données!E99/100)^2</f>
        <v>35.261707988980717</v>
      </c>
      <c r="AK99" s="4" t="s">
        <v>114</v>
      </c>
      <c r="AP99" s="2" t="b">
        <v>1</v>
      </c>
      <c r="AQ99" s="2" t="s">
        <v>73</v>
      </c>
    </row>
    <row r="100" spans="1:43" x14ac:dyDescent="0.25">
      <c r="A100" s="7">
        <f t="shared" si="5"/>
        <v>99</v>
      </c>
      <c r="B100" s="2" t="s">
        <v>39</v>
      </c>
      <c r="C100" s="2" t="s">
        <v>30</v>
      </c>
      <c r="D100" s="3">
        <v>36075</v>
      </c>
      <c r="E100" s="2">
        <v>165</v>
      </c>
      <c r="F100" s="2">
        <v>61</v>
      </c>
      <c r="G100" s="2" t="s">
        <v>31</v>
      </c>
      <c r="H100" s="2" t="s">
        <v>22</v>
      </c>
      <c r="I100" s="2">
        <v>34</v>
      </c>
      <c r="J100" s="2" t="b">
        <v>1</v>
      </c>
      <c r="K100" s="2" t="b">
        <v>1</v>
      </c>
      <c r="L100" s="2" t="s">
        <v>91</v>
      </c>
      <c r="M100" s="5" t="s">
        <v>102</v>
      </c>
      <c r="N100" s="3">
        <v>43604</v>
      </c>
      <c r="O100" s="3">
        <v>43610</v>
      </c>
      <c r="P100" s="2" t="s">
        <v>42</v>
      </c>
      <c r="Q100" s="2" t="s">
        <v>43</v>
      </c>
      <c r="R100" s="2" t="s">
        <v>52</v>
      </c>
      <c r="S100" s="5" t="s">
        <v>48</v>
      </c>
      <c r="T100" s="8" t="s">
        <v>29</v>
      </c>
      <c r="U100" s="2">
        <f t="shared" si="4"/>
        <v>22.4058769513315</v>
      </c>
      <c r="V100" s="4" t="s">
        <v>108</v>
      </c>
      <c r="AA100" s="19"/>
      <c r="AB100" s="19"/>
      <c r="AJ100" s="4">
        <f>[1]données!F100/([1]données!E100/100)^2</f>
        <v>22.4058769513315</v>
      </c>
      <c r="AK100" s="4" t="s">
        <v>108</v>
      </c>
      <c r="AP100" s="2" t="b">
        <v>1</v>
      </c>
      <c r="AQ100" s="2" t="s">
        <v>91</v>
      </c>
    </row>
    <row r="101" spans="1:43" x14ac:dyDescent="0.25">
      <c r="A101" s="12">
        <f t="shared" si="5"/>
        <v>100</v>
      </c>
      <c r="B101" s="13" t="s">
        <v>39</v>
      </c>
      <c r="C101" s="13" t="s">
        <v>30</v>
      </c>
      <c r="D101" s="14">
        <v>34249</v>
      </c>
      <c r="E101" s="13">
        <v>117</v>
      </c>
      <c r="F101" s="13">
        <v>116</v>
      </c>
      <c r="G101" s="13" t="s">
        <v>31</v>
      </c>
      <c r="H101" s="13" t="s">
        <v>35</v>
      </c>
      <c r="I101" s="13">
        <v>50</v>
      </c>
      <c r="J101" s="13" t="b">
        <v>0</v>
      </c>
      <c r="K101" s="13" t="b">
        <v>1</v>
      </c>
      <c r="L101" s="13" t="s">
        <v>81</v>
      </c>
      <c r="M101" s="15" t="s">
        <v>47</v>
      </c>
      <c r="N101" s="14">
        <v>43772</v>
      </c>
      <c r="O101" s="14">
        <v>43837</v>
      </c>
      <c r="P101" s="13" t="s">
        <v>38</v>
      </c>
      <c r="Q101" s="13" t="s">
        <v>26</v>
      </c>
      <c r="R101" s="13" t="s">
        <v>27</v>
      </c>
      <c r="S101" s="16" t="s">
        <v>48</v>
      </c>
      <c r="T101" s="17" t="s">
        <v>45</v>
      </c>
      <c r="U101" s="13">
        <f t="shared" si="4"/>
        <v>84.739571919059117</v>
      </c>
      <c r="V101" s="4" t="s">
        <v>110</v>
      </c>
      <c r="AA101" s="19"/>
      <c r="AB101" s="19"/>
      <c r="AJ101" s="4">
        <f>[1]données!F101/([1]données!E101/100)^2</f>
        <v>84.739571919059117</v>
      </c>
      <c r="AK101" s="4" t="s">
        <v>110</v>
      </c>
      <c r="AP101" s="2" t="b">
        <v>1</v>
      </c>
      <c r="AQ101" s="2" t="s">
        <v>81</v>
      </c>
    </row>
    <row r="102" spans="1:43" x14ac:dyDescent="0.25">
      <c r="A102" s="12" t="s">
        <v>125</v>
      </c>
      <c r="B102" s="13" t="s">
        <v>20</v>
      </c>
      <c r="C102" s="13" t="s">
        <v>30</v>
      </c>
      <c r="D102" s="14" t="s">
        <v>126</v>
      </c>
      <c r="E102" s="13">
        <v>156</v>
      </c>
      <c r="F102" s="13">
        <v>126</v>
      </c>
      <c r="G102" s="13" t="s">
        <v>119</v>
      </c>
      <c r="H102" s="13" t="s">
        <v>127</v>
      </c>
      <c r="I102" s="13" t="s">
        <v>128</v>
      </c>
      <c r="J102" s="13" t="s">
        <v>29</v>
      </c>
      <c r="K102" s="13" t="s">
        <v>29</v>
      </c>
      <c r="L102" s="13" t="s">
        <v>129</v>
      </c>
      <c r="M102" s="16" t="s">
        <v>130</v>
      </c>
      <c r="N102" s="14" t="s">
        <v>131</v>
      </c>
      <c r="O102" s="14" t="s">
        <v>132</v>
      </c>
      <c r="P102" s="13" t="s">
        <v>133</v>
      </c>
      <c r="Q102" s="13" t="s">
        <v>120</v>
      </c>
      <c r="R102" s="13" t="s">
        <v>123</v>
      </c>
      <c r="S102" s="16" t="s">
        <v>122</v>
      </c>
      <c r="T102" s="17" t="s">
        <v>121</v>
      </c>
      <c r="U102" s="20">
        <f t="shared" si="4"/>
        <v>51.77514792899408</v>
      </c>
      <c r="V102" s="13"/>
    </row>
  </sheetData>
  <dataValidations count="10">
    <dataValidation type="list" allowBlank="1" showInputMessage="1" showErrorMessage="1" sqref="P2:P102" xr:uid="{131F88EC-9831-4FE7-A15C-52AA1AE5F9F1}">
      <formula1>"LEGER,MODERE,SEVERE"</formula1>
    </dataValidation>
    <dataValidation type="list" allowBlank="1" showInputMessage="1" showErrorMessage="1" sqref="Q2:Q102" xr:uid="{1C2FD093-EDF6-407E-A5F3-E1153B697847}">
      <formula1>"GRAVE,NON GRAVE"</formula1>
    </dataValidation>
    <dataValidation type="list" allowBlank="1" showInputMessage="1" showErrorMessage="1" sqref="T2:T102" xr:uid="{4C92A22C-8439-4B75-8255-5282CD337447}">
      <formula1>"OUI,POSSIBLE,NON,NE SAIT PAS"</formula1>
    </dataValidation>
    <dataValidation type="list" allowBlank="1" showInputMessage="1" showErrorMessage="1" sqref="S2:S102" xr:uid="{BEBBE871-8D81-4280-8C30-5DD9DFB87311}">
      <formula1>"RESOLU,NON RESOLU,DECES,SEQUELLES,ENCOURS DE RESOLUTION,INCONNU"</formula1>
    </dataValidation>
    <dataValidation type="list" allowBlank="1" showInputMessage="1" showErrorMessage="1" sqref="R2:R102" xr:uid="{A5A9B593-3BAC-4BC6-8CD5-427CAF02E834}">
      <formula1>"DOSE REDUITE,HOSPITALISATION,AUTRE MEDICAMENT,AUCUNE ACTION"</formula1>
    </dataValidation>
    <dataValidation type="list" allowBlank="1" showInputMessage="1" showErrorMessage="1" sqref="J2:J102" xr:uid="{9E3B941A-C8D1-4841-8E74-A0B4AB873C1A}">
      <formula1>"VRAI,FAUX"</formula1>
    </dataValidation>
    <dataValidation type="list" allowBlank="1" showInputMessage="1" showErrorMessage="1" sqref="H2:H102" xr:uid="{DF3FE5BC-867C-4E6A-93A5-F11F1002B39F}">
      <formula1>"Positif,Négatif"</formula1>
    </dataValidation>
    <dataValidation type="list" allowBlank="1" showInputMessage="1" showErrorMessage="1" sqref="G2:G102" xr:uid="{AF6B6FE3-5429-4FF0-8666-911EAEACDA17}">
      <formula1>"Positif,Négatif,None,Non Attribuable"</formula1>
    </dataValidation>
    <dataValidation type="list" allowBlank="1" showInputMessage="1" showErrorMessage="1" sqref="C2:C102" xr:uid="{14493EF2-1609-474A-8A18-483E8FC844DA}">
      <formula1>"Masculin,Féminin"</formula1>
    </dataValidation>
    <dataValidation type="list" allowBlank="1" showInputMessage="1" showErrorMessage="1" sqref="B2:B102" xr:uid="{8AA6B3E7-9A7A-43E2-AD31-92B45E9424AC}">
      <formula1>"Gauche,Droite"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00FA6-4B51-4294-B487-5F2260CC18BC}">
  <sheetPr codeName="Feuil15"/>
  <dimension ref="A1:B8"/>
  <sheetViews>
    <sheetView workbookViewId="0">
      <selection sqref="A1:B8"/>
    </sheetView>
  </sheetViews>
  <sheetFormatPr baseColWidth="10" defaultRowHeight="15" x14ac:dyDescent="0.25"/>
  <sheetData>
    <row r="1" spans="1:2" x14ac:dyDescent="0.25">
      <c r="A1" s="6" t="s">
        <v>107</v>
      </c>
      <c r="B1" s="6" t="s">
        <v>116</v>
      </c>
    </row>
    <row r="2" spans="1:2" x14ac:dyDescent="0.25">
      <c r="A2" s="4" t="s">
        <v>111</v>
      </c>
      <c r="B2" s="4">
        <v>8</v>
      </c>
    </row>
    <row r="3" spans="1:2" x14ac:dyDescent="0.25">
      <c r="A3" s="4" t="s">
        <v>112</v>
      </c>
      <c r="B3" s="4">
        <v>10</v>
      </c>
    </row>
    <row r="4" spans="1:2" x14ac:dyDescent="0.25">
      <c r="A4" s="4" t="s">
        <v>115</v>
      </c>
      <c r="B4" s="4">
        <v>25</v>
      </c>
    </row>
    <row r="5" spans="1:2" x14ac:dyDescent="0.25">
      <c r="A5" s="4" t="s">
        <v>109</v>
      </c>
      <c r="B5" s="4">
        <v>32</v>
      </c>
    </row>
    <row r="6" spans="1:2" x14ac:dyDescent="0.25">
      <c r="A6" s="4" t="s">
        <v>113</v>
      </c>
      <c r="B6" s="4">
        <v>15</v>
      </c>
    </row>
    <row r="7" spans="1:2" x14ac:dyDescent="0.25">
      <c r="A7" s="4" t="s">
        <v>114</v>
      </c>
      <c r="B7" s="4">
        <v>7</v>
      </c>
    </row>
    <row r="8" spans="1:2" x14ac:dyDescent="0.25">
      <c r="A8" s="4" t="s">
        <v>110</v>
      </c>
      <c r="B8" s="4">
        <v>3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6C225-38C1-4443-8B35-3030A845161A}">
  <sheetPr codeName="Feuil16"/>
  <dimension ref="A1:B30"/>
  <sheetViews>
    <sheetView topLeftCell="A11" workbookViewId="0">
      <selection activeCell="D20" sqref="D20"/>
    </sheetView>
  </sheetViews>
  <sheetFormatPr baseColWidth="10" defaultRowHeight="15" x14ac:dyDescent="0.25"/>
  <sheetData>
    <row r="1" spans="1:2" x14ac:dyDescent="0.25">
      <c r="A1" s="1" t="s">
        <v>117</v>
      </c>
      <c r="B1" s="1" t="s">
        <v>118</v>
      </c>
    </row>
    <row r="2" spans="1:2" x14ac:dyDescent="0.25">
      <c r="A2" s="2" t="s">
        <v>23</v>
      </c>
      <c r="B2" s="2">
        <v>2</v>
      </c>
    </row>
    <row r="3" spans="1:2" x14ac:dyDescent="0.25">
      <c r="A3" s="2" t="s">
        <v>32</v>
      </c>
      <c r="B3" s="2">
        <v>6</v>
      </c>
    </row>
    <row r="4" spans="1:2" x14ac:dyDescent="0.25">
      <c r="A4" s="2" t="s">
        <v>36</v>
      </c>
      <c r="B4" s="2">
        <v>14</v>
      </c>
    </row>
    <row r="5" spans="1:2" x14ac:dyDescent="0.25">
      <c r="A5" s="2" t="s">
        <v>40</v>
      </c>
      <c r="B5" s="2">
        <v>4</v>
      </c>
    </row>
    <row r="6" spans="1:2" x14ac:dyDescent="0.25">
      <c r="A6" s="2" t="s">
        <v>46</v>
      </c>
      <c r="B6" s="2">
        <v>3</v>
      </c>
    </row>
    <row r="7" spans="1:2" x14ac:dyDescent="0.25">
      <c r="A7" s="2" t="s">
        <v>50</v>
      </c>
      <c r="B7" s="2">
        <v>1</v>
      </c>
    </row>
    <row r="8" spans="1:2" x14ac:dyDescent="0.25">
      <c r="A8" s="2" t="s">
        <v>97</v>
      </c>
      <c r="B8" s="2">
        <v>3</v>
      </c>
    </row>
    <row r="9" spans="1:2" x14ac:dyDescent="0.25">
      <c r="A9" s="2" t="s">
        <v>55</v>
      </c>
      <c r="B9" s="2">
        <v>9</v>
      </c>
    </row>
    <row r="10" spans="1:2" x14ac:dyDescent="0.25">
      <c r="A10" s="2" t="s">
        <v>59</v>
      </c>
      <c r="B10" s="2">
        <v>4</v>
      </c>
    </row>
    <row r="11" spans="1:2" x14ac:dyDescent="0.25">
      <c r="A11" s="2" t="s">
        <v>61</v>
      </c>
      <c r="B11" s="2">
        <v>2</v>
      </c>
    </row>
    <row r="12" spans="1:2" x14ac:dyDescent="0.25">
      <c r="A12" s="2" t="s">
        <v>62</v>
      </c>
      <c r="B12" s="2">
        <v>6</v>
      </c>
    </row>
    <row r="13" spans="1:2" x14ac:dyDescent="0.25">
      <c r="A13" s="2" t="s">
        <v>64</v>
      </c>
      <c r="B13" s="2">
        <v>3</v>
      </c>
    </row>
    <row r="14" spans="1:2" x14ac:dyDescent="0.25">
      <c r="A14" s="2" t="s">
        <v>66</v>
      </c>
      <c r="B14" s="2">
        <v>1</v>
      </c>
    </row>
    <row r="15" spans="1:2" x14ac:dyDescent="0.25">
      <c r="A15" s="2" t="s">
        <v>68</v>
      </c>
      <c r="B15" s="2">
        <v>1</v>
      </c>
    </row>
    <row r="16" spans="1:2" x14ac:dyDescent="0.25">
      <c r="A16" s="2" t="s">
        <v>70</v>
      </c>
      <c r="B16" s="2">
        <v>3</v>
      </c>
    </row>
    <row r="17" spans="1:2" x14ac:dyDescent="0.25">
      <c r="A17" s="2" t="s">
        <v>71</v>
      </c>
      <c r="B17" s="2">
        <v>2</v>
      </c>
    </row>
    <row r="18" spans="1:2" x14ac:dyDescent="0.25">
      <c r="A18" s="2" t="s">
        <v>73</v>
      </c>
      <c r="B18" s="2">
        <v>2</v>
      </c>
    </row>
    <row r="19" spans="1:2" x14ac:dyDescent="0.25">
      <c r="A19" s="2" t="s">
        <v>74</v>
      </c>
      <c r="B19" s="2">
        <v>1</v>
      </c>
    </row>
    <row r="20" spans="1:2" x14ac:dyDescent="0.25">
      <c r="A20" s="2" t="s">
        <v>76</v>
      </c>
      <c r="B20" s="2">
        <v>2</v>
      </c>
    </row>
    <row r="21" spans="1:2" x14ac:dyDescent="0.25">
      <c r="A21" s="2" t="s">
        <v>77</v>
      </c>
      <c r="B21" s="2">
        <v>3</v>
      </c>
    </row>
    <row r="22" spans="1:2" x14ac:dyDescent="0.25">
      <c r="A22" s="2" t="s">
        <v>79</v>
      </c>
      <c r="B22" s="2">
        <v>1</v>
      </c>
    </row>
    <row r="23" spans="1:2" x14ac:dyDescent="0.25">
      <c r="A23" s="2" t="s">
        <v>81</v>
      </c>
      <c r="B23" s="2">
        <v>11</v>
      </c>
    </row>
    <row r="24" spans="1:2" x14ac:dyDescent="0.25">
      <c r="A24" s="2" t="s">
        <v>84</v>
      </c>
      <c r="B24" s="2">
        <v>1</v>
      </c>
    </row>
    <row r="25" spans="1:2" x14ac:dyDescent="0.25">
      <c r="A25" s="2" t="s">
        <v>61</v>
      </c>
      <c r="B25" s="2">
        <v>1</v>
      </c>
    </row>
    <row r="26" spans="1:2" x14ac:dyDescent="0.25">
      <c r="A26" s="2" t="s">
        <v>87</v>
      </c>
      <c r="B26" s="2">
        <v>5</v>
      </c>
    </row>
    <row r="27" spans="1:2" x14ac:dyDescent="0.25">
      <c r="A27" s="2" t="s">
        <v>92</v>
      </c>
      <c r="B27" s="2">
        <v>3</v>
      </c>
    </row>
    <row r="28" spans="1:2" x14ac:dyDescent="0.25">
      <c r="A28" s="2" t="s">
        <v>91</v>
      </c>
      <c r="B28" s="2">
        <v>2</v>
      </c>
    </row>
    <row r="29" spans="1:2" x14ac:dyDescent="0.25">
      <c r="A29" s="2" t="s">
        <v>93</v>
      </c>
      <c r="B29" s="2">
        <v>1</v>
      </c>
    </row>
    <row r="30" spans="1:2" x14ac:dyDescent="0.25">
      <c r="A30" s="2" t="s">
        <v>101</v>
      </c>
      <c r="B30" s="2">
        <v>3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D774D-76C4-48CE-9AEA-AF5073C249C1}">
  <sheetPr codeName="Feuil17"/>
  <dimension ref="A1:B102"/>
  <sheetViews>
    <sheetView workbookViewId="0">
      <selection activeCell="C12" sqref="C12"/>
    </sheetView>
  </sheetViews>
  <sheetFormatPr baseColWidth="10" defaultRowHeight="15" x14ac:dyDescent="0.25"/>
  <sheetData>
    <row r="1" spans="1:2" x14ac:dyDescent="0.25">
      <c r="A1" s="1" t="s">
        <v>0</v>
      </c>
      <c r="B1" s="1" t="s">
        <v>1</v>
      </c>
    </row>
    <row r="2" spans="1:2" x14ac:dyDescent="0.25">
      <c r="A2" s="21">
        <v>165</v>
      </c>
      <c r="B2" s="21">
        <v>55</v>
      </c>
    </row>
    <row r="3" spans="1:2" x14ac:dyDescent="0.25">
      <c r="A3" s="27">
        <v>180</v>
      </c>
      <c r="B3" s="27">
        <v>70</v>
      </c>
    </row>
    <row r="4" spans="1:2" x14ac:dyDescent="0.25">
      <c r="A4" s="21">
        <v>169</v>
      </c>
      <c r="B4" s="21">
        <v>80</v>
      </c>
    </row>
    <row r="5" spans="1:2" x14ac:dyDescent="0.25">
      <c r="A5" s="27">
        <v>187</v>
      </c>
      <c r="B5" s="27">
        <v>76</v>
      </c>
    </row>
    <row r="6" spans="1:2" x14ac:dyDescent="0.25">
      <c r="A6" s="21">
        <v>182</v>
      </c>
      <c r="B6" s="21">
        <v>93</v>
      </c>
    </row>
    <row r="7" spans="1:2" x14ac:dyDescent="0.25">
      <c r="A7" s="27">
        <v>171</v>
      </c>
      <c r="B7" s="27">
        <v>90</v>
      </c>
    </row>
    <row r="8" spans="1:2" x14ac:dyDescent="0.25">
      <c r="A8" s="21">
        <v>175</v>
      </c>
      <c r="B8" s="21">
        <v>55</v>
      </c>
    </row>
    <row r="9" spans="1:2" x14ac:dyDescent="0.25">
      <c r="A9" s="27">
        <v>181</v>
      </c>
      <c r="B9" s="27">
        <v>91</v>
      </c>
    </row>
    <row r="10" spans="1:2" x14ac:dyDescent="0.25">
      <c r="A10" s="21">
        <v>169</v>
      </c>
      <c r="B10" s="21">
        <v>60</v>
      </c>
    </row>
    <row r="11" spans="1:2" x14ac:dyDescent="0.25">
      <c r="A11" s="27">
        <v>190</v>
      </c>
      <c r="B11" s="27">
        <v>110</v>
      </c>
    </row>
    <row r="12" spans="1:2" x14ac:dyDescent="0.25">
      <c r="A12" s="21">
        <v>170</v>
      </c>
      <c r="B12" s="21">
        <v>45</v>
      </c>
    </row>
    <row r="13" spans="1:2" x14ac:dyDescent="0.25">
      <c r="A13" s="27">
        <v>170</v>
      </c>
      <c r="B13" s="27">
        <v>80</v>
      </c>
    </row>
    <row r="14" spans="1:2" x14ac:dyDescent="0.25">
      <c r="A14" s="21">
        <v>159</v>
      </c>
      <c r="B14" s="21">
        <v>80</v>
      </c>
    </row>
    <row r="15" spans="1:2" x14ac:dyDescent="0.25">
      <c r="A15" s="27">
        <v>182</v>
      </c>
      <c r="B15" s="27">
        <v>80</v>
      </c>
    </row>
    <row r="16" spans="1:2" x14ac:dyDescent="0.25">
      <c r="A16" s="21">
        <v>172</v>
      </c>
      <c r="B16" s="21">
        <v>110</v>
      </c>
    </row>
    <row r="17" spans="1:2" x14ac:dyDescent="0.25">
      <c r="A17" s="27">
        <v>172</v>
      </c>
      <c r="B17" s="27">
        <v>58</v>
      </c>
    </row>
    <row r="18" spans="1:2" x14ac:dyDescent="0.25">
      <c r="A18" s="21">
        <v>172</v>
      </c>
      <c r="B18" s="21">
        <v>78</v>
      </c>
    </row>
    <row r="19" spans="1:2" x14ac:dyDescent="0.25">
      <c r="A19" s="27">
        <v>155</v>
      </c>
      <c r="B19" s="27">
        <v>78</v>
      </c>
    </row>
    <row r="20" spans="1:2" x14ac:dyDescent="0.25">
      <c r="A20" s="21">
        <v>162</v>
      </c>
      <c r="B20" s="21">
        <v>78</v>
      </c>
    </row>
    <row r="21" spans="1:2" x14ac:dyDescent="0.25">
      <c r="A21" s="27">
        <v>130</v>
      </c>
      <c r="B21" s="27">
        <v>25</v>
      </c>
    </row>
    <row r="22" spans="1:2" x14ac:dyDescent="0.25">
      <c r="A22" s="21">
        <v>170</v>
      </c>
      <c r="B22" s="21">
        <v>95</v>
      </c>
    </row>
    <row r="23" spans="1:2" x14ac:dyDescent="0.25">
      <c r="A23" s="27">
        <v>170</v>
      </c>
      <c r="B23" s="27">
        <v>55</v>
      </c>
    </row>
    <row r="24" spans="1:2" x14ac:dyDescent="0.25">
      <c r="A24" s="21">
        <v>167</v>
      </c>
      <c r="B24" s="21">
        <v>115</v>
      </c>
    </row>
    <row r="25" spans="1:2" x14ac:dyDescent="0.25">
      <c r="A25" s="27">
        <v>186</v>
      </c>
      <c r="B25" s="27">
        <v>115</v>
      </c>
    </row>
    <row r="26" spans="1:2" x14ac:dyDescent="0.25">
      <c r="A26" s="21">
        <v>186</v>
      </c>
      <c r="B26" s="21">
        <v>65</v>
      </c>
    </row>
    <row r="27" spans="1:2" x14ac:dyDescent="0.25">
      <c r="A27" s="27">
        <v>186</v>
      </c>
      <c r="B27" s="27">
        <v>62</v>
      </c>
    </row>
    <row r="28" spans="1:2" x14ac:dyDescent="0.25">
      <c r="A28" s="21">
        <v>166</v>
      </c>
      <c r="B28" s="21">
        <v>69</v>
      </c>
    </row>
    <row r="29" spans="1:2" x14ac:dyDescent="0.25">
      <c r="A29" s="27">
        <v>166</v>
      </c>
      <c r="B29" s="27">
        <v>80</v>
      </c>
    </row>
    <row r="30" spans="1:2" x14ac:dyDescent="0.25">
      <c r="A30" s="21">
        <v>155</v>
      </c>
      <c r="B30" s="21">
        <v>101</v>
      </c>
    </row>
    <row r="31" spans="1:2" x14ac:dyDescent="0.25">
      <c r="A31" s="27">
        <v>170</v>
      </c>
      <c r="B31" s="27">
        <v>46</v>
      </c>
    </row>
    <row r="32" spans="1:2" x14ac:dyDescent="0.25">
      <c r="A32" s="21">
        <v>170</v>
      </c>
      <c r="B32" s="21">
        <v>89</v>
      </c>
    </row>
    <row r="33" spans="1:2" x14ac:dyDescent="0.25">
      <c r="A33" s="27">
        <v>178</v>
      </c>
      <c r="B33" s="27">
        <v>89</v>
      </c>
    </row>
    <row r="34" spans="1:2" x14ac:dyDescent="0.25">
      <c r="A34" s="21">
        <v>178</v>
      </c>
      <c r="B34" s="21">
        <v>54</v>
      </c>
    </row>
    <row r="35" spans="1:2" x14ac:dyDescent="0.25">
      <c r="A35" s="27">
        <v>178</v>
      </c>
      <c r="B35" s="27">
        <v>54</v>
      </c>
    </row>
    <row r="36" spans="1:2" x14ac:dyDescent="0.25">
      <c r="A36" s="21">
        <v>180</v>
      </c>
      <c r="B36" s="21">
        <v>76</v>
      </c>
    </row>
    <row r="37" spans="1:2" x14ac:dyDescent="0.25">
      <c r="A37" s="27">
        <v>180</v>
      </c>
      <c r="B37" s="27">
        <v>103</v>
      </c>
    </row>
    <row r="38" spans="1:2" x14ac:dyDescent="0.25">
      <c r="A38" s="21">
        <v>159</v>
      </c>
      <c r="B38" s="21">
        <v>76</v>
      </c>
    </row>
    <row r="39" spans="1:2" x14ac:dyDescent="0.25">
      <c r="A39" s="27">
        <v>178</v>
      </c>
      <c r="B39" s="27">
        <v>90</v>
      </c>
    </row>
    <row r="40" spans="1:2" x14ac:dyDescent="0.25">
      <c r="A40" s="21">
        <v>178</v>
      </c>
      <c r="B40" s="21">
        <v>96</v>
      </c>
    </row>
    <row r="41" spans="1:2" x14ac:dyDescent="0.25">
      <c r="A41" s="27">
        <v>178</v>
      </c>
      <c r="B41" s="27">
        <v>87</v>
      </c>
    </row>
    <row r="42" spans="1:2" x14ac:dyDescent="0.25">
      <c r="A42" s="21">
        <v>178</v>
      </c>
      <c r="B42" s="21">
        <v>62</v>
      </c>
    </row>
    <row r="43" spans="1:2" x14ac:dyDescent="0.25">
      <c r="A43" s="27">
        <v>179</v>
      </c>
      <c r="B43" s="27">
        <v>68</v>
      </c>
    </row>
    <row r="44" spans="1:2" x14ac:dyDescent="0.25">
      <c r="A44" s="21">
        <v>196</v>
      </c>
      <c r="B44" s="21">
        <v>65</v>
      </c>
    </row>
    <row r="45" spans="1:2" x14ac:dyDescent="0.25">
      <c r="A45" s="27">
        <v>161</v>
      </c>
      <c r="B45" s="27">
        <v>65</v>
      </c>
    </row>
    <row r="46" spans="1:2" x14ac:dyDescent="0.25">
      <c r="A46" s="21">
        <v>161</v>
      </c>
      <c r="B46" s="21">
        <v>76</v>
      </c>
    </row>
    <row r="47" spans="1:2" x14ac:dyDescent="0.25">
      <c r="A47" s="27">
        <v>171</v>
      </c>
      <c r="B47" s="27">
        <v>76</v>
      </c>
    </row>
    <row r="48" spans="1:2" x14ac:dyDescent="0.25">
      <c r="A48" s="21">
        <v>171</v>
      </c>
      <c r="B48" s="21">
        <v>86</v>
      </c>
    </row>
    <row r="49" spans="1:2" x14ac:dyDescent="0.25">
      <c r="A49" s="27">
        <v>191</v>
      </c>
      <c r="B49" s="27">
        <v>80</v>
      </c>
    </row>
    <row r="50" spans="1:2" x14ac:dyDescent="0.25">
      <c r="A50" s="21">
        <v>191</v>
      </c>
      <c r="B50" s="21">
        <v>87</v>
      </c>
    </row>
    <row r="51" spans="1:2" x14ac:dyDescent="0.25">
      <c r="A51" s="27">
        <v>167</v>
      </c>
      <c r="B51" s="27">
        <v>87</v>
      </c>
    </row>
    <row r="52" spans="1:2" x14ac:dyDescent="0.25">
      <c r="A52" s="21">
        <v>120</v>
      </c>
      <c r="B52" s="21">
        <v>20</v>
      </c>
    </row>
    <row r="53" spans="1:2" x14ac:dyDescent="0.25">
      <c r="A53" s="27">
        <v>145</v>
      </c>
      <c r="B53" s="27">
        <v>42</v>
      </c>
    </row>
    <row r="54" spans="1:2" x14ac:dyDescent="0.25">
      <c r="A54" s="21">
        <v>145</v>
      </c>
      <c r="B54" s="21">
        <v>68</v>
      </c>
    </row>
    <row r="55" spans="1:2" x14ac:dyDescent="0.25">
      <c r="A55" s="27">
        <v>172</v>
      </c>
      <c r="B55" s="27">
        <v>104</v>
      </c>
    </row>
    <row r="56" spans="1:2" x14ac:dyDescent="0.25">
      <c r="A56" s="21">
        <v>192</v>
      </c>
      <c r="B56" s="21">
        <v>110</v>
      </c>
    </row>
    <row r="57" spans="1:2" x14ac:dyDescent="0.25">
      <c r="A57" s="27">
        <v>192</v>
      </c>
      <c r="B57" s="27">
        <v>89</v>
      </c>
    </row>
    <row r="58" spans="1:2" x14ac:dyDescent="0.25">
      <c r="A58" s="21">
        <v>162</v>
      </c>
      <c r="B58" s="21">
        <v>93</v>
      </c>
    </row>
    <row r="59" spans="1:2" x14ac:dyDescent="0.25">
      <c r="A59" s="27">
        <v>162</v>
      </c>
      <c r="B59" s="27">
        <v>93</v>
      </c>
    </row>
    <row r="60" spans="1:2" x14ac:dyDescent="0.25">
      <c r="A60" s="21">
        <v>162</v>
      </c>
      <c r="B60" s="21">
        <v>65</v>
      </c>
    </row>
    <row r="61" spans="1:2" x14ac:dyDescent="0.25">
      <c r="A61" s="27">
        <v>162</v>
      </c>
      <c r="B61" s="27">
        <v>65</v>
      </c>
    </row>
    <row r="62" spans="1:2" x14ac:dyDescent="0.25">
      <c r="A62" s="21">
        <v>187</v>
      </c>
      <c r="B62" s="21">
        <v>71</v>
      </c>
    </row>
    <row r="63" spans="1:2" x14ac:dyDescent="0.25">
      <c r="A63" s="27">
        <v>187</v>
      </c>
      <c r="B63" s="27">
        <v>91</v>
      </c>
    </row>
    <row r="64" spans="1:2" x14ac:dyDescent="0.25">
      <c r="A64" s="21">
        <v>187</v>
      </c>
      <c r="B64" s="21">
        <v>91</v>
      </c>
    </row>
    <row r="65" spans="1:2" x14ac:dyDescent="0.25">
      <c r="A65" s="27">
        <v>187</v>
      </c>
      <c r="B65" s="27">
        <v>91</v>
      </c>
    </row>
    <row r="66" spans="1:2" x14ac:dyDescent="0.25">
      <c r="A66" s="21">
        <v>187</v>
      </c>
      <c r="B66" s="21">
        <v>91</v>
      </c>
    </row>
    <row r="67" spans="1:2" x14ac:dyDescent="0.25">
      <c r="A67" s="27">
        <v>187</v>
      </c>
      <c r="B67" s="27">
        <v>91</v>
      </c>
    </row>
    <row r="68" spans="1:2" x14ac:dyDescent="0.25">
      <c r="A68" s="21">
        <v>187</v>
      </c>
      <c r="B68" s="21">
        <v>91</v>
      </c>
    </row>
    <row r="69" spans="1:2" x14ac:dyDescent="0.25">
      <c r="A69" s="27">
        <v>187</v>
      </c>
      <c r="B69" s="27">
        <v>91</v>
      </c>
    </row>
    <row r="70" spans="1:2" x14ac:dyDescent="0.25">
      <c r="A70" s="21">
        <v>187</v>
      </c>
      <c r="B70" s="21">
        <v>91</v>
      </c>
    </row>
    <row r="71" spans="1:2" x14ac:dyDescent="0.25">
      <c r="A71" s="27">
        <v>187</v>
      </c>
      <c r="B71" s="27">
        <v>61</v>
      </c>
    </row>
    <row r="72" spans="1:2" x14ac:dyDescent="0.25">
      <c r="A72" s="21">
        <v>187</v>
      </c>
      <c r="B72" s="21">
        <v>61</v>
      </c>
    </row>
    <row r="73" spans="1:2" x14ac:dyDescent="0.25">
      <c r="A73" s="27">
        <v>187</v>
      </c>
      <c r="B73" s="27">
        <v>61</v>
      </c>
    </row>
    <row r="74" spans="1:2" x14ac:dyDescent="0.25">
      <c r="A74" s="21">
        <v>195</v>
      </c>
      <c r="B74" s="21">
        <v>61</v>
      </c>
    </row>
    <row r="75" spans="1:2" x14ac:dyDescent="0.25">
      <c r="A75" s="27">
        <v>195</v>
      </c>
      <c r="B75" s="27">
        <v>87</v>
      </c>
    </row>
    <row r="76" spans="1:2" x14ac:dyDescent="0.25">
      <c r="A76" s="21">
        <v>195</v>
      </c>
      <c r="B76" s="21">
        <v>87</v>
      </c>
    </row>
    <row r="77" spans="1:2" x14ac:dyDescent="0.25">
      <c r="A77" s="27">
        <v>195</v>
      </c>
      <c r="B77" s="27">
        <v>87</v>
      </c>
    </row>
    <row r="78" spans="1:2" x14ac:dyDescent="0.25">
      <c r="A78" s="21">
        <v>156</v>
      </c>
      <c r="B78" s="21">
        <v>87</v>
      </c>
    </row>
    <row r="79" spans="1:2" x14ac:dyDescent="0.25">
      <c r="A79" s="27">
        <v>156</v>
      </c>
      <c r="B79" s="27">
        <v>80</v>
      </c>
    </row>
    <row r="80" spans="1:2" x14ac:dyDescent="0.25">
      <c r="A80" s="21">
        <v>156</v>
      </c>
      <c r="B80" s="21">
        <v>80</v>
      </c>
    </row>
    <row r="81" spans="1:2" x14ac:dyDescent="0.25">
      <c r="A81" s="27">
        <v>156</v>
      </c>
      <c r="B81" s="27">
        <v>80</v>
      </c>
    </row>
    <row r="82" spans="1:2" x14ac:dyDescent="0.25">
      <c r="A82" s="21">
        <v>156</v>
      </c>
      <c r="B82" s="21">
        <v>56</v>
      </c>
    </row>
    <row r="83" spans="1:2" x14ac:dyDescent="0.25">
      <c r="A83" s="27">
        <v>176</v>
      </c>
      <c r="B83" s="27">
        <v>40</v>
      </c>
    </row>
    <row r="84" spans="1:2" x14ac:dyDescent="0.25">
      <c r="A84" s="21">
        <v>195</v>
      </c>
      <c r="B84" s="21">
        <v>51</v>
      </c>
    </row>
    <row r="85" spans="1:2" x14ac:dyDescent="0.25">
      <c r="A85" s="27">
        <v>195</v>
      </c>
      <c r="B85" s="27">
        <v>51</v>
      </c>
    </row>
    <row r="86" spans="1:2" x14ac:dyDescent="0.25">
      <c r="A86" s="21">
        <v>185</v>
      </c>
      <c r="B86" s="21">
        <v>71</v>
      </c>
    </row>
    <row r="87" spans="1:2" x14ac:dyDescent="0.25">
      <c r="A87" s="27">
        <v>155</v>
      </c>
      <c r="B87" s="27">
        <v>71</v>
      </c>
    </row>
    <row r="88" spans="1:2" x14ac:dyDescent="0.25">
      <c r="A88" s="21">
        <v>155</v>
      </c>
      <c r="B88" s="21">
        <v>71</v>
      </c>
    </row>
    <row r="89" spans="1:2" x14ac:dyDescent="0.25">
      <c r="A89" s="27">
        <v>165</v>
      </c>
      <c r="B89" s="27">
        <v>71</v>
      </c>
    </row>
    <row r="90" spans="1:2" x14ac:dyDescent="0.25">
      <c r="A90" s="21">
        <v>165</v>
      </c>
      <c r="B90" s="21">
        <v>81</v>
      </c>
    </row>
    <row r="91" spans="1:2" x14ac:dyDescent="0.25">
      <c r="A91" s="27">
        <v>175</v>
      </c>
      <c r="B91" s="27">
        <v>91</v>
      </c>
    </row>
    <row r="92" spans="1:2" x14ac:dyDescent="0.25">
      <c r="A92" s="21">
        <v>160</v>
      </c>
      <c r="B92" s="21">
        <v>91</v>
      </c>
    </row>
    <row r="93" spans="1:2" x14ac:dyDescent="0.25">
      <c r="A93" s="27">
        <v>173</v>
      </c>
      <c r="B93" s="27">
        <v>72</v>
      </c>
    </row>
    <row r="94" spans="1:2" x14ac:dyDescent="0.25">
      <c r="A94" s="21">
        <v>187</v>
      </c>
      <c r="B94" s="21">
        <v>59</v>
      </c>
    </row>
    <row r="95" spans="1:2" x14ac:dyDescent="0.25">
      <c r="A95" s="27">
        <v>180</v>
      </c>
      <c r="B95" s="27">
        <v>91</v>
      </c>
    </row>
    <row r="96" spans="1:2" x14ac:dyDescent="0.25">
      <c r="A96" s="21">
        <v>180</v>
      </c>
      <c r="B96" s="21">
        <v>54</v>
      </c>
    </row>
    <row r="97" spans="1:2" x14ac:dyDescent="0.25">
      <c r="A97" s="27">
        <v>180</v>
      </c>
      <c r="B97" s="27">
        <v>84</v>
      </c>
    </row>
    <row r="98" spans="1:2" x14ac:dyDescent="0.25">
      <c r="A98" s="21">
        <v>180</v>
      </c>
      <c r="B98" s="21">
        <v>84</v>
      </c>
    </row>
    <row r="99" spans="1:2" x14ac:dyDescent="0.25">
      <c r="A99" s="27">
        <v>165</v>
      </c>
      <c r="B99" s="27">
        <v>96</v>
      </c>
    </row>
    <row r="100" spans="1:2" x14ac:dyDescent="0.25">
      <c r="A100" s="21">
        <v>165</v>
      </c>
      <c r="B100" s="21">
        <v>61</v>
      </c>
    </row>
    <row r="101" spans="1:2" x14ac:dyDescent="0.25">
      <c r="A101" s="32">
        <v>117</v>
      </c>
      <c r="B101" s="32">
        <v>116</v>
      </c>
    </row>
    <row r="102" spans="1:2" x14ac:dyDescent="0.25">
      <c r="A102" s="21">
        <v>156</v>
      </c>
      <c r="B102" s="21">
        <v>126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2</vt:i4>
      </vt:variant>
    </vt:vector>
  </HeadingPairs>
  <TitlesOfParts>
    <vt:vector size="19" baseType="lpstr">
      <vt:lpstr>données</vt:lpstr>
      <vt:lpstr>Resultat</vt:lpstr>
      <vt:lpstr>Sexe</vt:lpstr>
      <vt:lpstr>TestGr</vt:lpstr>
      <vt:lpstr>Bastrait</vt:lpstr>
      <vt:lpstr>GEpaisse</vt:lpstr>
      <vt:lpstr>Intensite</vt:lpstr>
      <vt:lpstr>Gravite</vt:lpstr>
      <vt:lpstr>Evennement</vt:lpstr>
      <vt:lpstr>Developpement</vt:lpstr>
      <vt:lpstr>Relation</vt:lpstr>
      <vt:lpstr>Action</vt:lpstr>
      <vt:lpstr>Spotsang</vt:lpstr>
      <vt:lpstr>graphes</vt:lpstr>
      <vt:lpstr>secteur</vt:lpstr>
      <vt:lpstr>baton</vt:lpstr>
      <vt:lpstr>nuage</vt:lpstr>
      <vt:lpstr>donnee</vt:lpstr>
      <vt:lpstr>donnees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ABDALLAH</dc:creator>
  <cp:lastModifiedBy>ABDALLAH</cp:lastModifiedBy>
  <dcterms:created xsi:type="dcterms:W3CDTF">2020-03-23T11:42:17Z</dcterms:created>
  <dcterms:modified xsi:type="dcterms:W3CDTF">2020-03-26T18:25:11Z</dcterms:modified>
</cp:coreProperties>
</file>