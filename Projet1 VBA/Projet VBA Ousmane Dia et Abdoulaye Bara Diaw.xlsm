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8952C3A2-72DA-4D53-B610-D3C6A9F38963}" xr6:coauthVersionLast="36" xr6:coauthVersionMax="45" xr10:uidLastSave="{00000000-0000-0000-0000-000000000000}"/>
  <bookViews>
    <workbookView xWindow="-120" yWindow="-120" windowWidth="20730" windowHeight="11760" activeTab="7" xr2:uid="{00000000-000D-0000-FFFF-FFFF00000000}"/>
  </bookViews>
  <sheets>
    <sheet name="A" sheetId="1" r:id="rId1"/>
    <sheet name="B" sheetId="2" r:id="rId2"/>
    <sheet name="C" sheetId="3" r:id="rId3"/>
    <sheet name="D" sheetId="4" r:id="rId4"/>
    <sheet name="E" sheetId="5" r:id="rId5"/>
    <sheet name="Heatmap" sheetId="6" r:id="rId6"/>
    <sheet name="Camembert" sheetId="7" r:id="rId7"/>
    <sheet name="Solveur" sheetId="10" r:id="rId8"/>
  </sheets>
  <functionGroups builtInGroupCount="19"/>
  <definedNames>
    <definedName name="solver_adj" localSheetId="7" hidden="1">Solveur!$M$52,Solveur!$N$52,Solveur!$N$52,Solveur!$O$52,Solveur!$P$52,Solveur!$Q$52,Solveur!$R$52,Solveur!$S$52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Solveur!$T$52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3</definedName>
    <definedName name="solver_ver" localSheetId="7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7" l="1"/>
  <c r="L5" i="10" l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L29" i="10" s="1"/>
  <c r="L30" i="10" s="1"/>
  <c r="L31" i="10" s="1"/>
  <c r="L32" i="10" s="1"/>
  <c r="L33" i="10" s="1"/>
  <c r="L34" i="10" s="1"/>
  <c r="L35" i="10" s="1"/>
  <c r="L36" i="10" s="1"/>
  <c r="L37" i="10" s="1"/>
  <c r="L38" i="10" s="1"/>
  <c r="L39" i="10" s="1"/>
  <c r="L40" i="10" s="1"/>
  <c r="L41" i="10" s="1"/>
  <c r="L42" i="10" s="1"/>
  <c r="L43" i="10" s="1"/>
  <c r="L44" i="10" s="1"/>
  <c r="L45" i="10" s="1"/>
  <c r="L46" i="10" s="1"/>
  <c r="L47" i="10" s="1"/>
  <c r="L48" i="10" s="1"/>
  <c r="L49" i="10" s="1"/>
  <c r="L50" i="10" s="1"/>
  <c r="L51" i="10" s="1"/>
  <c r="L52" i="10" s="1"/>
  <c r="L53" i="10" s="1"/>
  <c r="L54" i="10" s="1"/>
  <c r="L55" i="10" s="1"/>
  <c r="L56" i="10" s="1"/>
  <c r="L57" i="10" s="1"/>
  <c r="L58" i="10" s="1"/>
  <c r="L59" i="10" s="1"/>
  <c r="L60" i="10" s="1"/>
  <c r="L61" i="10" s="1"/>
  <c r="L62" i="10" s="1"/>
  <c r="L63" i="10" s="1"/>
  <c r="L64" i="10" s="1"/>
  <c r="L65" i="10" s="1"/>
  <c r="L66" i="10" s="1"/>
  <c r="L4" i="10"/>
  <c r="T52" i="10"/>
  <c r="T51" i="10"/>
  <c r="T61" i="10"/>
  <c r="T66" i="10"/>
  <c r="T64" i="10"/>
  <c r="T62" i="10"/>
  <c r="T60" i="10"/>
  <c r="T58" i="10"/>
  <c r="T56" i="10"/>
  <c r="T54" i="10"/>
  <c r="T50" i="10"/>
  <c r="T48" i="10"/>
  <c r="T46" i="10"/>
  <c r="T44" i="10"/>
  <c r="T42" i="10"/>
  <c r="T40" i="10"/>
  <c r="T38" i="10"/>
  <c r="T36" i="10"/>
  <c r="T34" i="10"/>
  <c r="T32" i="10"/>
  <c r="T30" i="10"/>
  <c r="T28" i="10"/>
  <c r="T26" i="10"/>
  <c r="T24" i="10"/>
  <c r="T22" i="10"/>
  <c r="T20" i="10"/>
  <c r="T18" i="10"/>
  <c r="T16" i="10"/>
  <c r="T14" i="10"/>
  <c r="T12" i="10"/>
  <c r="T10" i="10"/>
  <c r="T8" i="10"/>
  <c r="T6" i="10"/>
  <c r="T4" i="10"/>
  <c r="T59" i="10"/>
  <c r="T57" i="10"/>
  <c r="T55" i="10"/>
  <c r="T53" i="10"/>
  <c r="T47" i="10"/>
  <c r="T45" i="10"/>
  <c r="T41" i="10"/>
  <c r="T39" i="10"/>
  <c r="T35" i="10"/>
  <c r="T31" i="10"/>
  <c r="T25" i="10"/>
  <c r="T21" i="10"/>
  <c r="T17" i="10"/>
  <c r="T13" i="10"/>
  <c r="T9" i="10"/>
  <c r="T5" i="10"/>
  <c r="T63" i="10"/>
  <c r="T49" i="10"/>
  <c r="T43" i="10"/>
  <c r="T37" i="10"/>
  <c r="T33" i="10"/>
  <c r="T29" i="10"/>
  <c r="T27" i="10"/>
  <c r="T23" i="10"/>
  <c r="T19" i="10"/>
  <c r="T15" i="10"/>
  <c r="T11" i="10"/>
  <c r="T7" i="10"/>
  <c r="T3" i="10"/>
  <c r="T65" i="10"/>
  <c r="I4" i="10"/>
  <c r="I8" i="10"/>
  <c r="I12" i="10"/>
  <c r="I16" i="10"/>
  <c r="I20" i="10"/>
  <c r="I24" i="10"/>
  <c r="I28" i="10"/>
  <c r="I32" i="10"/>
  <c r="I36" i="10"/>
  <c r="I40" i="10"/>
  <c r="I44" i="10"/>
  <c r="I48" i="10"/>
  <c r="I52" i="10"/>
  <c r="I56" i="10"/>
  <c r="I60" i="10"/>
  <c r="I64" i="10"/>
  <c r="I5" i="10"/>
  <c r="I9" i="10"/>
  <c r="I13" i="10"/>
  <c r="I17" i="10"/>
  <c r="I21" i="10"/>
  <c r="I25" i="10"/>
  <c r="I29" i="10"/>
  <c r="I33" i="10"/>
  <c r="I37" i="10"/>
  <c r="I41" i="10"/>
  <c r="I45" i="10"/>
  <c r="I49" i="10"/>
  <c r="I53" i="10"/>
  <c r="I57" i="10"/>
  <c r="I61" i="10"/>
  <c r="I65" i="10"/>
  <c r="I6" i="10"/>
  <c r="I10" i="10"/>
  <c r="I14" i="10"/>
  <c r="I18" i="10"/>
  <c r="I22" i="10"/>
  <c r="I26" i="10"/>
  <c r="I30" i="10"/>
  <c r="I34" i="10"/>
  <c r="I38" i="10"/>
  <c r="I42" i="10"/>
  <c r="I46" i="10"/>
  <c r="I50" i="10"/>
  <c r="I54" i="10"/>
  <c r="I58" i="10"/>
  <c r="I62" i="10"/>
  <c r="I66" i="10"/>
  <c r="I7" i="10"/>
  <c r="I15" i="10"/>
  <c r="I19" i="10"/>
  <c r="I23" i="10"/>
  <c r="I27" i="10"/>
  <c r="I31" i="10"/>
  <c r="I35" i="10"/>
  <c r="I39" i="10"/>
  <c r="I43" i="10"/>
  <c r="I47" i="10"/>
  <c r="I51" i="10"/>
  <c r="I55" i="10"/>
  <c r="I59" i="10"/>
  <c r="I63" i="10"/>
  <c r="I11" i="10"/>
  <c r="I3" i="10"/>
  <c r="A5" i="10" l="1"/>
  <c r="A6" i="10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4" i="10"/>
  <c r="A4" i="7"/>
  <c r="A8" i="7"/>
  <c r="A12" i="7"/>
  <c r="A16" i="7"/>
  <c r="A20" i="7"/>
  <c r="A13" i="7"/>
  <c r="A17" i="7"/>
  <c r="A19" i="7"/>
  <c r="A5" i="7"/>
  <c r="A9" i="7"/>
  <c r="A21" i="7"/>
  <c r="A6" i="7"/>
  <c r="A10" i="7"/>
  <c r="A14" i="7"/>
  <c r="A18" i="7"/>
  <c r="A22" i="7"/>
  <c r="A7" i="7"/>
  <c r="A11" i="7"/>
  <c r="A15" i="7"/>
  <c r="B4" i="7"/>
  <c r="B8" i="7"/>
  <c r="B12" i="7"/>
  <c r="B16" i="7"/>
  <c r="B20" i="7"/>
  <c r="B9" i="7"/>
  <c r="B13" i="7"/>
  <c r="B17" i="7"/>
  <c r="B21" i="7"/>
  <c r="B10" i="7"/>
  <c r="B14" i="7"/>
  <c r="B18" i="7"/>
  <c r="B22" i="7"/>
  <c r="B7" i="7"/>
  <c r="B15" i="7"/>
  <c r="B19" i="7"/>
  <c r="B5" i="7"/>
  <c r="B6" i="7"/>
  <c r="B11" i="7"/>
  <c r="C4" i="7"/>
  <c r="C8" i="7"/>
  <c r="C12" i="7"/>
  <c r="C16" i="7"/>
  <c r="C20" i="7"/>
  <c r="C13" i="7"/>
  <c r="C17" i="7"/>
  <c r="C19" i="7"/>
  <c r="C5" i="7"/>
  <c r="C9" i="7"/>
  <c r="C21" i="7"/>
  <c r="C6" i="7"/>
  <c r="C10" i="7"/>
  <c r="C14" i="7"/>
  <c r="C18" i="7"/>
  <c r="C22" i="7"/>
  <c r="C7" i="7"/>
  <c r="C11" i="7"/>
  <c r="C15" i="7"/>
  <c r="D4" i="7"/>
  <c r="D8" i="7"/>
  <c r="D12" i="7"/>
  <c r="D16" i="7"/>
  <c r="D20" i="7"/>
  <c r="D18" i="7"/>
  <c r="D22" i="7"/>
  <c r="D15" i="7"/>
  <c r="D5" i="7"/>
  <c r="D9" i="7"/>
  <c r="D13" i="7"/>
  <c r="D17" i="7"/>
  <c r="D21" i="7"/>
  <c r="D10" i="7"/>
  <c r="D7" i="7"/>
  <c r="D19" i="7"/>
  <c r="D6" i="7"/>
  <c r="D14" i="7"/>
  <c r="D11" i="7"/>
  <c r="E4" i="7"/>
  <c r="E8" i="7"/>
  <c r="E12" i="7"/>
  <c r="E16" i="7"/>
  <c r="E20" i="7"/>
  <c r="E13" i="7"/>
  <c r="E21" i="7"/>
  <c r="E15" i="7"/>
  <c r="E5" i="7"/>
  <c r="E9" i="7"/>
  <c r="E17" i="7"/>
  <c r="E6" i="7"/>
  <c r="E10" i="7"/>
  <c r="E14" i="7"/>
  <c r="E18" i="7"/>
  <c r="E22" i="7"/>
  <c r="E7" i="7"/>
  <c r="E11" i="7"/>
  <c r="E19" i="7"/>
  <c r="C3" i="7"/>
  <c r="B3" i="7"/>
  <c r="E3" i="7"/>
  <c r="A3" i="7"/>
  <c r="D3" i="7"/>
  <c r="E4" i="6"/>
  <c r="E8" i="6"/>
  <c r="E12" i="6"/>
  <c r="E16" i="6"/>
  <c r="E20" i="6"/>
  <c r="E15" i="6"/>
  <c r="E5" i="6"/>
  <c r="E9" i="6"/>
  <c r="E13" i="6"/>
  <c r="E17" i="6"/>
  <c r="E21" i="6"/>
  <c r="E11" i="6"/>
  <c r="E19" i="6"/>
  <c r="E6" i="6"/>
  <c r="E10" i="6"/>
  <c r="E14" i="6"/>
  <c r="E18" i="6"/>
  <c r="E22" i="6"/>
  <c r="E7" i="6"/>
  <c r="E3" i="6"/>
  <c r="D4" i="6"/>
  <c r="D8" i="6"/>
  <c r="D12" i="6"/>
  <c r="D16" i="6"/>
  <c r="D20" i="6"/>
  <c r="D18" i="6"/>
  <c r="D11" i="6"/>
  <c r="D15" i="6"/>
  <c r="D5" i="6"/>
  <c r="D9" i="6"/>
  <c r="D13" i="6"/>
  <c r="D17" i="6"/>
  <c r="D21" i="6"/>
  <c r="D14" i="6"/>
  <c r="D7" i="6"/>
  <c r="D6" i="6"/>
  <c r="D10" i="6"/>
  <c r="D22" i="6"/>
  <c r="D19" i="6"/>
  <c r="D3" i="6"/>
  <c r="C4" i="6"/>
  <c r="C8" i="6"/>
  <c r="C12" i="6"/>
  <c r="C16" i="6"/>
  <c r="C20" i="6"/>
  <c r="C14" i="6"/>
  <c r="C11" i="6"/>
  <c r="C19" i="6"/>
  <c r="C5" i="6"/>
  <c r="C9" i="6"/>
  <c r="C13" i="6"/>
  <c r="C17" i="6"/>
  <c r="C21" i="6"/>
  <c r="C18" i="6"/>
  <c r="C7" i="6"/>
  <c r="C6" i="6"/>
  <c r="C10" i="6"/>
  <c r="C22" i="6"/>
  <c r="C15" i="6"/>
  <c r="C3" i="6"/>
  <c r="B4" i="6"/>
  <c r="B8" i="6"/>
  <c r="B12" i="6"/>
  <c r="B16" i="6"/>
  <c r="B20" i="6"/>
  <c r="B9" i="6"/>
  <c r="B17" i="6"/>
  <c r="B19" i="6"/>
  <c r="B5" i="6"/>
  <c r="B13" i="6"/>
  <c r="B21" i="6"/>
  <c r="B6" i="6"/>
  <c r="B10" i="6"/>
  <c r="B14" i="6"/>
  <c r="B18" i="6"/>
  <c r="B22" i="6"/>
  <c r="B7" i="6"/>
  <c r="B11" i="6"/>
  <c r="B15" i="6"/>
  <c r="B3" i="6"/>
  <c r="I4" i="5"/>
  <c r="I8" i="5"/>
  <c r="I12" i="5"/>
  <c r="I16" i="5"/>
  <c r="I20" i="5"/>
  <c r="I9" i="5"/>
  <c r="I13" i="5"/>
  <c r="I17" i="5"/>
  <c r="I21" i="5"/>
  <c r="I6" i="5"/>
  <c r="I14" i="5"/>
  <c r="I22" i="5"/>
  <c r="I11" i="5"/>
  <c r="I15" i="5"/>
  <c r="I5" i="5"/>
  <c r="I10" i="5"/>
  <c r="I18" i="5"/>
  <c r="I7" i="5"/>
  <c r="I19" i="5"/>
  <c r="I3" i="5"/>
  <c r="I4" i="4"/>
  <c r="I8" i="4"/>
  <c r="I12" i="4"/>
  <c r="I16" i="4"/>
  <c r="I20" i="4"/>
  <c r="I13" i="4"/>
  <c r="I21" i="4"/>
  <c r="I22" i="4"/>
  <c r="I15" i="4"/>
  <c r="I5" i="4"/>
  <c r="I9" i="4"/>
  <c r="I17" i="4"/>
  <c r="I7" i="4"/>
  <c r="I19" i="4"/>
  <c r="I6" i="4"/>
  <c r="I10" i="4"/>
  <c r="I14" i="4"/>
  <c r="I18" i="4"/>
  <c r="I11" i="4"/>
  <c r="I3" i="4"/>
  <c r="I4" i="3"/>
  <c r="I8" i="3"/>
  <c r="I12" i="3"/>
  <c r="I16" i="3"/>
  <c r="I20" i="3"/>
  <c r="I13" i="3"/>
  <c r="I21" i="3"/>
  <c r="I10" i="3"/>
  <c r="I18" i="3"/>
  <c r="I7" i="3"/>
  <c r="I15" i="3"/>
  <c r="I5" i="3"/>
  <c r="I9" i="3"/>
  <c r="I17" i="3"/>
  <c r="I6" i="3"/>
  <c r="I14" i="3"/>
  <c r="I22" i="3"/>
  <c r="I11" i="3"/>
  <c r="I19" i="3"/>
  <c r="I3" i="3"/>
  <c r="I4" i="2"/>
  <c r="I8" i="2"/>
  <c r="I12" i="2"/>
  <c r="I16" i="2"/>
  <c r="I20" i="2"/>
  <c r="I15" i="2"/>
  <c r="I5" i="2"/>
  <c r="I9" i="2"/>
  <c r="I13" i="2"/>
  <c r="I17" i="2"/>
  <c r="I21" i="2"/>
  <c r="I11" i="2"/>
  <c r="I6" i="2"/>
  <c r="I10" i="2"/>
  <c r="I14" i="2"/>
  <c r="I18" i="2"/>
  <c r="I22" i="2"/>
  <c r="I7" i="2"/>
  <c r="I19" i="2"/>
  <c r="I3" i="2"/>
  <c r="A3" i="6"/>
  <c r="A4" i="6"/>
  <c r="A8" i="6"/>
  <c r="A12" i="6"/>
  <c r="A16" i="6"/>
  <c r="A20" i="6"/>
  <c r="A5" i="6"/>
  <c r="A9" i="6"/>
  <c r="A13" i="6"/>
  <c r="A17" i="6"/>
  <c r="A21" i="6"/>
  <c r="A6" i="6"/>
  <c r="A10" i="6"/>
  <c r="A14" i="6"/>
  <c r="A18" i="6"/>
  <c r="A22" i="6"/>
  <c r="A7" i="6"/>
  <c r="A11" i="6"/>
  <c r="A15" i="6"/>
  <c r="A19" i="6"/>
  <c r="J4" i="1"/>
  <c r="J8" i="1"/>
  <c r="J12" i="1"/>
  <c r="J16" i="1"/>
  <c r="J20" i="1"/>
  <c r="J10" i="1"/>
  <c r="J18" i="1"/>
  <c r="J7" i="1"/>
  <c r="J15" i="1"/>
  <c r="J5" i="1"/>
  <c r="J9" i="1"/>
  <c r="J13" i="1"/>
  <c r="J17" i="1"/>
  <c r="J21" i="1"/>
  <c r="J6" i="1"/>
  <c r="J14" i="1"/>
  <c r="J22" i="1"/>
  <c r="J11" i="1"/>
  <c r="J19" i="1"/>
  <c r="J3" i="1"/>
  <c r="H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ABDALLAH</author>
  </authors>
  <commentList>
    <comment ref="A2" authorId="0" shapeId="0" xr:uid="{BDADC263-8F30-4053-BB16-7D79DF38C0CB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A.</t>
        </r>
      </text>
    </comment>
    <comment ref="B2" authorId="0" shapeId="0" xr:uid="{20DC4A7A-8760-4BF4-98B8-6956AE438843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B.</t>
        </r>
      </text>
    </comment>
    <comment ref="C2" authorId="0" shapeId="0" xr:uid="{92FF5C00-D2AC-4732-97E0-E1CCC5537D9B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C.</t>
        </r>
      </text>
    </comment>
    <comment ref="D2" authorId="0" shapeId="0" xr:uid="{B068CE6A-113E-4C2C-9FFD-FD41BB83C334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D.</t>
        </r>
      </text>
    </comment>
    <comment ref="E2" authorId="0" shapeId="0" xr:uid="{2182A98F-CE86-4350-AE3C-E875C7DC6FD3}">
      <text>
        <r>
          <rPr>
            <b/>
            <sz val="9"/>
            <color indexed="81"/>
            <rFont val="Tahoma"/>
            <family val="2"/>
          </rPr>
          <t>ABDALLAH:</t>
        </r>
        <r>
          <rPr>
            <sz val="9"/>
            <color indexed="81"/>
            <rFont val="Tahoma"/>
            <family val="2"/>
          </rPr>
          <t xml:space="preserve">
Scores des 20 entreprises présentes dans la zone E.</t>
        </r>
      </text>
    </comment>
  </commentList>
</comments>
</file>

<file path=xl/sharedStrings.xml><?xml version="1.0" encoding="utf-8"?>
<sst xmlns="http://schemas.openxmlformats.org/spreadsheetml/2006/main" count="80" uniqueCount="31">
  <si>
    <t>CC</t>
  </si>
  <si>
    <t>PR</t>
  </si>
  <si>
    <t>TA</t>
  </si>
  <si>
    <t>PFI</t>
  </si>
  <si>
    <t>CB</t>
  </si>
  <si>
    <t>VCP</t>
  </si>
  <si>
    <t>V</t>
  </si>
  <si>
    <t>Zone B</t>
  </si>
  <si>
    <t>Zone C</t>
  </si>
  <si>
    <t>Zone D</t>
  </si>
  <si>
    <t>Zone E</t>
  </si>
  <si>
    <t>ZONE A</t>
  </si>
  <si>
    <t>SCORE ZONE A</t>
  </si>
  <si>
    <t>SCORE ZONE B</t>
  </si>
  <si>
    <t>SCORE ZONE C</t>
  </si>
  <si>
    <t>SCORE ZONE D</t>
  </si>
  <si>
    <t>SCORE ZONE E</t>
  </si>
  <si>
    <t>Visualisation des scores en carte de chaleur</t>
  </si>
  <si>
    <t>Etat des dossiers</t>
  </si>
  <si>
    <t>Acceptés</t>
  </si>
  <si>
    <t>Rejetés</t>
  </si>
  <si>
    <t>Données financières des entreprises de la zone A</t>
  </si>
  <si>
    <t>Données financières des entreprises de la Zone B</t>
  </si>
  <si>
    <t>Données financières des entreprises de la Zone C</t>
  </si>
  <si>
    <t>Données financières des entreprises de la Zone E</t>
  </si>
  <si>
    <t>Données des entreprises défaillantes ou en incertitude</t>
  </si>
  <si>
    <t xml:space="preserve">SCORES </t>
  </si>
  <si>
    <t>Entreprises</t>
  </si>
  <si>
    <t>Les meilleures données financières qui permettent aux entreprises d'atteindre un score &gt;=2.99</t>
  </si>
  <si>
    <t>Données financières des entreprises de la Zone D</t>
  </si>
  <si>
    <t>Incertitude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</si>
</sst>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Diagramme Circulaire de</a:t>
            </a:r>
            <a:r>
              <a:rPr lang="fr-FR" baseline="0"/>
              <a:t> l'état des dossiers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23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explosion val="11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1C99-43EE-9F13-4A6DA55DA20F}"/>
              </c:ext>
            </c:extLst>
          </c:dPt>
          <c:dPt>
            <c:idx val="1"/>
            <c:bubble3D val="0"/>
            <c:explosion val="21"/>
            <c:spPr>
              <a:solidFill>
                <a:srgbClr val="FFFF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1C99-43EE-9F13-4A6DA55DA20F}"/>
              </c:ext>
            </c:extLst>
          </c:dPt>
          <c:dPt>
            <c:idx val="2"/>
            <c:bubble3D val="0"/>
            <c:explosion val="25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C99-43EE-9F13-4A6DA55DA20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D4040F9-8041-4C28-ADAF-E5054E7AF87E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C99-43EE-9F13-4A6DA55DA2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1426B4-393F-4EFD-AC02-3A80C27FAFCB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C99-43EE-9F13-4A6DA55DA2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7400C8-C47B-4E0F-885F-B274813D0BB1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C99-43EE-9F13-4A6DA55DA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Camembert!$H$2:$J$2</c:f>
              <c:strCache>
                <c:ptCount val="3"/>
                <c:pt idx="0">
                  <c:v>Acceptés</c:v>
                </c:pt>
                <c:pt idx="1">
                  <c:v>Rejetés</c:v>
                </c:pt>
                <c:pt idx="2">
                  <c:v>Incertitude</c:v>
                </c:pt>
              </c:strCache>
            </c:strRef>
          </c:cat>
          <c:val>
            <c:numRef>
              <c:f>Camembert!$H$3:$J$3</c:f>
              <c:numCache>
                <c:formatCode>General</c:formatCode>
                <c:ptCount val="3"/>
                <c:pt idx="0">
                  <c:v>36</c:v>
                </c:pt>
                <c:pt idx="1">
                  <c:v>27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9-43EE-9F13-4A6DA55DA2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rgbClr val="000000"/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476249</xdr:colOff>
      <xdr:row>4</xdr:row>
      <xdr:rowOff>152400</xdr:rowOff>
    </xdr:from>
    <xdr:to>
      <xdr:col>12</xdr:col>
      <xdr:colOff>180974</xdr:colOff>
      <xdr:row>22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0B0BFC6-61EC-486A-B232-7B54C8C9B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22"/>
  <sheetViews>
    <sheetView workbookViewId="0">
      <selection sqref="A1:G1"/>
    </sheetView>
  </sheetViews>
  <sheetFormatPr baseColWidth="10" defaultRowHeight="15" x14ac:dyDescent="0.25"/>
  <cols>
    <col min="1" max="7" width="11.42578125" style="1"/>
    <col min="10" max="10" width="13.5703125" customWidth="1"/>
  </cols>
  <sheetData>
    <row r="1" spans="1:10" ht="18.75" x14ac:dyDescent="0.25">
      <c r="A1" s="17" t="s">
        <v>21</v>
      </c>
      <c r="B1" s="17"/>
      <c r="C1" s="17"/>
      <c r="D1" s="17"/>
      <c r="E1" s="17"/>
      <c r="F1" s="17"/>
      <c r="G1" s="17"/>
    </row>
    <row r="2" spans="1:10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J2" s="6" t="s">
        <v>12</v>
      </c>
    </row>
    <row r="3" spans="1:10" x14ac:dyDescent="0.25">
      <c r="A3" s="4">
        <v>-12669592</v>
      </c>
      <c r="B3" s="4">
        <v>10220287</v>
      </c>
      <c r="C3" s="4">
        <v>11602297</v>
      </c>
      <c r="D3" s="4">
        <v>10120287</v>
      </c>
      <c r="E3" s="4">
        <v>356403</v>
      </c>
      <c r="F3" s="4">
        <v>24271889</v>
      </c>
      <c r="G3" s="4">
        <v>10632838</v>
      </c>
      <c r="J3" s="7">
        <f>Score_Altman(A3,B3,C3,D3,E3,F3,G3)</f>
        <v>3.7256642361207688</v>
      </c>
    </row>
    <row r="4" spans="1:10" x14ac:dyDescent="0.25">
      <c r="A4" s="4">
        <v>25099</v>
      </c>
      <c r="B4" s="4">
        <v>4788760</v>
      </c>
      <c r="C4" s="4">
        <v>13566555</v>
      </c>
      <c r="D4" s="4">
        <v>4688760</v>
      </c>
      <c r="E4" s="4">
        <v>304782</v>
      </c>
      <c r="F4" s="4">
        <v>13541456</v>
      </c>
      <c r="G4" s="4">
        <v>5057196</v>
      </c>
      <c r="J4" s="7">
        <f t="shared" ref="J4:J22" si="0">Score_Altman(A4,B4,C4,D4,E4,F4,G4)</f>
        <v>2.022815501124966</v>
      </c>
    </row>
    <row r="5" spans="1:10" x14ac:dyDescent="0.25">
      <c r="A5" s="4">
        <v>5697159</v>
      </c>
      <c r="B5" s="4">
        <v>3196660</v>
      </c>
      <c r="C5" s="4">
        <v>24032434</v>
      </c>
      <c r="D5" s="4">
        <v>3096660</v>
      </c>
      <c r="E5" s="4">
        <v>123104</v>
      </c>
      <c r="F5" s="4">
        <v>18335275</v>
      </c>
      <c r="G5" s="4">
        <v>3669992</v>
      </c>
      <c r="J5" s="7">
        <f t="shared" si="0"/>
        <v>1.0524954658230352</v>
      </c>
    </row>
    <row r="6" spans="1:10" x14ac:dyDescent="0.25">
      <c r="A6" s="4">
        <v>115702</v>
      </c>
      <c r="B6" s="4">
        <v>13625272</v>
      </c>
      <c r="C6" s="4">
        <v>14446232</v>
      </c>
      <c r="D6" s="4">
        <v>13525272</v>
      </c>
      <c r="E6" s="4">
        <v>476972</v>
      </c>
      <c r="F6" s="4">
        <v>14330530</v>
      </c>
      <c r="G6" s="4">
        <v>14166333</v>
      </c>
      <c r="J6" s="7">
        <f t="shared" si="0"/>
        <v>5.4192872754814472</v>
      </c>
    </row>
    <row r="7" spans="1:10" x14ac:dyDescent="0.25">
      <c r="A7" s="4">
        <v>3816720</v>
      </c>
      <c r="B7" s="4">
        <v>9331367</v>
      </c>
      <c r="C7" s="4">
        <v>16832148</v>
      </c>
      <c r="D7" s="4">
        <v>9231367</v>
      </c>
      <c r="E7" s="4">
        <v>309696</v>
      </c>
      <c r="F7" s="4">
        <v>13015428</v>
      </c>
      <c r="G7" s="4">
        <v>10023146</v>
      </c>
      <c r="J7" s="7">
        <f t="shared" si="0"/>
        <v>3.4672294700908632</v>
      </c>
    </row>
    <row r="8" spans="1:10" x14ac:dyDescent="0.25">
      <c r="A8" s="4">
        <v>14124528</v>
      </c>
      <c r="B8" s="4">
        <v>7460138</v>
      </c>
      <c r="C8" s="4">
        <v>24258979</v>
      </c>
      <c r="D8" s="4">
        <v>7360138</v>
      </c>
      <c r="E8" s="4">
        <v>458504</v>
      </c>
      <c r="F8" s="4">
        <v>10134451</v>
      </c>
      <c r="G8" s="4">
        <v>8241103</v>
      </c>
      <c r="J8" s="7">
        <f t="shared" si="0"/>
        <v>2.4969500217324478</v>
      </c>
    </row>
    <row r="9" spans="1:10" x14ac:dyDescent="0.25">
      <c r="A9" s="4">
        <v>1559563</v>
      </c>
      <c r="B9" s="4">
        <v>8221100</v>
      </c>
      <c r="C9" s="4">
        <v>19201074</v>
      </c>
      <c r="D9" s="4">
        <v>8121100</v>
      </c>
      <c r="E9" s="4">
        <v>410821</v>
      </c>
      <c r="F9" s="4">
        <v>17641511</v>
      </c>
      <c r="G9" s="4">
        <v>8583139</v>
      </c>
      <c r="J9" s="7">
        <f t="shared" si="0"/>
        <v>2.5531636791847845</v>
      </c>
    </row>
    <row r="10" spans="1:10" x14ac:dyDescent="0.25">
      <c r="A10" s="4">
        <v>7220041</v>
      </c>
      <c r="B10" s="4">
        <v>3141192</v>
      </c>
      <c r="C10" s="4">
        <v>19726999</v>
      </c>
      <c r="D10" s="4">
        <v>3041192</v>
      </c>
      <c r="E10" s="4">
        <v>113888</v>
      </c>
      <c r="F10" s="4">
        <v>12506958</v>
      </c>
      <c r="G10" s="4">
        <v>3469461</v>
      </c>
      <c r="J10" s="7">
        <f t="shared" si="0"/>
        <v>1.352026321079477</v>
      </c>
    </row>
    <row r="11" spans="1:10" x14ac:dyDescent="0.25">
      <c r="A11" s="4">
        <v>-7705792</v>
      </c>
      <c r="B11" s="4">
        <v>6297910</v>
      </c>
      <c r="C11" s="4">
        <v>13749043</v>
      </c>
      <c r="D11" s="4">
        <v>6197910</v>
      </c>
      <c r="E11" s="4">
        <v>223844</v>
      </c>
      <c r="F11" s="4">
        <v>21454835</v>
      </c>
      <c r="G11" s="4">
        <v>7004684</v>
      </c>
      <c r="J11" s="7">
        <f t="shared" si="0"/>
        <v>1.9715535376170539</v>
      </c>
    </row>
    <row r="12" spans="1:10" x14ac:dyDescent="0.25">
      <c r="A12" s="4">
        <v>-5770669</v>
      </c>
      <c r="B12" s="4">
        <v>10843396</v>
      </c>
      <c r="C12" s="4">
        <v>13446647</v>
      </c>
      <c r="D12" s="4">
        <v>10743396</v>
      </c>
      <c r="E12" s="4">
        <v>293434</v>
      </c>
      <c r="F12" s="4">
        <v>19217316</v>
      </c>
      <c r="G12" s="4">
        <v>11620394</v>
      </c>
      <c r="J12" s="7">
        <f t="shared" si="0"/>
        <v>4.1230445131669917</v>
      </c>
    </row>
    <row r="13" spans="1:10" x14ac:dyDescent="0.25">
      <c r="A13" s="4">
        <v>162202</v>
      </c>
      <c r="B13" s="4">
        <v>2707649</v>
      </c>
      <c r="C13" s="4">
        <v>23575056</v>
      </c>
      <c r="D13" s="4">
        <v>2607649</v>
      </c>
      <c r="E13" s="4">
        <v>245758</v>
      </c>
      <c r="F13" s="4">
        <v>23412854</v>
      </c>
      <c r="G13" s="4">
        <v>3471145</v>
      </c>
      <c r="J13" s="7">
        <f t="shared" si="0"/>
        <v>0.68745299725557452</v>
      </c>
    </row>
    <row r="14" spans="1:10" x14ac:dyDescent="0.25">
      <c r="A14" s="4">
        <v>10279145</v>
      </c>
      <c r="B14" s="4">
        <v>4100015</v>
      </c>
      <c r="C14" s="4">
        <v>20671895</v>
      </c>
      <c r="D14" s="4">
        <v>4000015</v>
      </c>
      <c r="E14" s="4">
        <v>340240</v>
      </c>
      <c r="F14" s="4">
        <v>10392750</v>
      </c>
      <c r="G14" s="4">
        <v>4899009</v>
      </c>
      <c r="J14" s="7">
        <f t="shared" si="0"/>
        <v>1.7693205778630283</v>
      </c>
    </row>
    <row r="15" spans="1:10" x14ac:dyDescent="0.25">
      <c r="A15" s="4">
        <v>-816657</v>
      </c>
      <c r="B15" s="4">
        <v>3314632</v>
      </c>
      <c r="C15" s="4">
        <v>15620529</v>
      </c>
      <c r="D15" s="4">
        <v>3214632</v>
      </c>
      <c r="E15" s="4">
        <v>223387</v>
      </c>
      <c r="F15" s="4">
        <v>16437186</v>
      </c>
      <c r="G15" s="4">
        <v>4061840</v>
      </c>
      <c r="J15" s="7">
        <f t="shared" si="0"/>
        <v>1.1813897705145358</v>
      </c>
    </row>
    <row r="16" spans="1:10" x14ac:dyDescent="0.25">
      <c r="A16" s="4">
        <v>-4693175</v>
      </c>
      <c r="B16" s="4">
        <v>2622315</v>
      </c>
      <c r="C16" s="4">
        <v>14177487</v>
      </c>
      <c r="D16" s="4">
        <v>2522315</v>
      </c>
      <c r="E16" s="4">
        <v>407920</v>
      </c>
      <c r="F16" s="4">
        <v>18870662</v>
      </c>
      <c r="G16" s="4">
        <v>2986883</v>
      </c>
      <c r="J16" s="7">
        <f t="shared" si="0"/>
        <v>0.67225230100045819</v>
      </c>
    </row>
    <row r="17" spans="1:10" x14ac:dyDescent="0.25">
      <c r="A17" s="4">
        <v>11803165</v>
      </c>
      <c r="B17" s="4">
        <v>9120635</v>
      </c>
      <c r="C17" s="4">
        <v>24192612</v>
      </c>
      <c r="D17" s="4">
        <v>9020635</v>
      </c>
      <c r="E17" s="4">
        <v>189359</v>
      </c>
      <c r="F17" s="4">
        <v>12389447</v>
      </c>
      <c r="G17" s="4">
        <v>9397810</v>
      </c>
      <c r="J17" s="7">
        <f t="shared" si="0"/>
        <v>2.7409627818064171</v>
      </c>
    </row>
    <row r="18" spans="1:10" x14ac:dyDescent="0.25">
      <c r="A18" s="4">
        <v>5183016</v>
      </c>
      <c r="B18" s="4">
        <v>8787655</v>
      </c>
      <c r="C18" s="4">
        <v>19195036</v>
      </c>
      <c r="D18" s="4">
        <v>8687655</v>
      </c>
      <c r="E18" s="4">
        <v>123284</v>
      </c>
      <c r="F18" s="4">
        <v>14012020</v>
      </c>
      <c r="G18" s="4">
        <v>9587930</v>
      </c>
      <c r="J18" s="7">
        <f t="shared" si="0"/>
        <v>2.9628114092384465</v>
      </c>
    </row>
    <row r="19" spans="1:10" x14ac:dyDescent="0.25">
      <c r="A19" s="4">
        <v>2841324</v>
      </c>
      <c r="B19" s="4">
        <v>10208886</v>
      </c>
      <c r="C19" s="4">
        <v>17581204</v>
      </c>
      <c r="D19" s="4">
        <v>10108886</v>
      </c>
      <c r="E19" s="4">
        <v>100485</v>
      </c>
      <c r="F19" s="4">
        <v>14739880</v>
      </c>
      <c r="G19" s="4">
        <v>10915048</v>
      </c>
      <c r="J19" s="7">
        <f t="shared" si="0"/>
        <v>3.5286206172189392</v>
      </c>
    </row>
    <row r="20" spans="1:10" x14ac:dyDescent="0.25">
      <c r="A20" s="4">
        <v>2034404</v>
      </c>
      <c r="B20" s="4">
        <v>6354879</v>
      </c>
      <c r="C20" s="4">
        <v>20751230</v>
      </c>
      <c r="D20" s="4">
        <v>6254879</v>
      </c>
      <c r="E20" s="4">
        <v>326177</v>
      </c>
      <c r="F20" s="4">
        <v>18716826</v>
      </c>
      <c r="G20" s="4">
        <v>7279835</v>
      </c>
      <c r="J20" s="7">
        <f t="shared" si="0"/>
        <v>1.9019956661183672</v>
      </c>
    </row>
    <row r="21" spans="1:10" x14ac:dyDescent="0.25">
      <c r="A21" s="4">
        <v>-1275318</v>
      </c>
      <c r="B21" s="4">
        <v>9373731</v>
      </c>
      <c r="C21" s="4">
        <v>16635128</v>
      </c>
      <c r="D21" s="4">
        <v>9273731</v>
      </c>
      <c r="E21" s="4">
        <v>231357</v>
      </c>
      <c r="F21" s="4">
        <v>17910446</v>
      </c>
      <c r="G21" s="4">
        <v>10109637</v>
      </c>
      <c r="J21" s="7">
        <f t="shared" si="0"/>
        <v>3.1514402150388876</v>
      </c>
    </row>
    <row r="22" spans="1:10" x14ac:dyDescent="0.25">
      <c r="A22" s="4">
        <v>-5685903</v>
      </c>
      <c r="B22" s="4">
        <v>2132209</v>
      </c>
      <c r="C22" s="4">
        <v>12453407</v>
      </c>
      <c r="D22" s="4">
        <v>2032209</v>
      </c>
      <c r="E22" s="4">
        <v>308071</v>
      </c>
      <c r="F22" s="4">
        <v>18139310</v>
      </c>
      <c r="G22" s="4">
        <v>2642118</v>
      </c>
      <c r="J22" s="7">
        <f t="shared" si="0"/>
        <v>0.45246067042608756</v>
      </c>
    </row>
  </sheetData>
  <mergeCells count="1">
    <mergeCell ref="A1:G1"/>
  </mergeCells>
  <conditionalFormatting sqref="J2:J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22"/>
  <sheetViews>
    <sheetView workbookViewId="0">
      <selection sqref="A1:G1"/>
    </sheetView>
  </sheetViews>
  <sheetFormatPr baseColWidth="10" defaultRowHeight="15" x14ac:dyDescent="0.25"/>
  <cols>
    <col min="9" max="9" width="13.85546875" customWidth="1"/>
  </cols>
  <sheetData>
    <row r="1" spans="1:9" ht="18.75" x14ac:dyDescent="0.3">
      <c r="A1" s="18" t="s">
        <v>22</v>
      </c>
      <c r="B1" s="18"/>
      <c r="C1" s="18"/>
      <c r="D1" s="18"/>
      <c r="E1" s="18"/>
      <c r="F1" s="18"/>
      <c r="G1" s="18"/>
    </row>
    <row r="2" spans="1:9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I2" s="3" t="s">
        <v>13</v>
      </c>
    </row>
    <row r="3" spans="1:9" x14ac:dyDescent="0.25">
      <c r="A3" s="4">
        <v>10239761</v>
      </c>
      <c r="B3" s="4">
        <v>7216077</v>
      </c>
      <c r="C3" s="4">
        <v>22323551</v>
      </c>
      <c r="D3" s="4">
        <v>7116077</v>
      </c>
      <c r="E3" s="4">
        <v>181379</v>
      </c>
      <c r="F3" s="4">
        <v>12083790</v>
      </c>
      <c r="G3" s="4">
        <v>7815880</v>
      </c>
      <c r="I3" s="7">
        <f>Score_Altman(A3,B3,C3,D3,E3,F3,G3)</f>
        <v>2.4137013045098472</v>
      </c>
    </row>
    <row r="4" spans="1:9" x14ac:dyDescent="0.25">
      <c r="A4" s="4">
        <v>-5188964</v>
      </c>
      <c r="B4" s="4">
        <v>6301456</v>
      </c>
      <c r="C4" s="4">
        <v>10585803</v>
      </c>
      <c r="D4" s="4">
        <v>6201456</v>
      </c>
      <c r="E4" s="4">
        <v>481592</v>
      </c>
      <c r="F4" s="4">
        <v>15774767</v>
      </c>
      <c r="G4" s="4">
        <v>6609908</v>
      </c>
      <c r="I4" s="7">
        <f t="shared" ref="I4:I22" si="0">Score_Altman(A4,B4,C4,D4,E4,F4,G4)</f>
        <v>2.8205031348194871</v>
      </c>
    </row>
    <row r="5" spans="1:9" x14ac:dyDescent="0.25">
      <c r="A5" s="4">
        <v>7110072</v>
      </c>
      <c r="B5" s="4">
        <v>11769506</v>
      </c>
      <c r="C5" s="4">
        <v>21392423</v>
      </c>
      <c r="D5" s="4">
        <v>11669506</v>
      </c>
      <c r="E5" s="4">
        <v>432266</v>
      </c>
      <c r="F5" s="4">
        <v>14282351</v>
      </c>
      <c r="G5" s="4">
        <v>12373901</v>
      </c>
      <c r="I5" s="7">
        <f t="shared" si="0"/>
        <v>3.5652231974642525</v>
      </c>
    </row>
    <row r="6" spans="1:9" x14ac:dyDescent="0.25">
      <c r="A6" s="4">
        <v>-4705002</v>
      </c>
      <c r="B6" s="4">
        <v>49854</v>
      </c>
      <c r="C6" s="4">
        <v>12760474</v>
      </c>
      <c r="D6" s="4">
        <v>-50146</v>
      </c>
      <c r="E6" s="4">
        <v>264554</v>
      </c>
      <c r="F6" s="4">
        <v>17465476</v>
      </c>
      <c r="G6" s="4">
        <v>1009722</v>
      </c>
      <c r="I6" s="7">
        <f t="shared" si="0"/>
        <v>-0.36182077860307349</v>
      </c>
    </row>
    <row r="7" spans="1:9" x14ac:dyDescent="0.25">
      <c r="A7" s="4">
        <v>-8007787</v>
      </c>
      <c r="B7" s="4">
        <v>2257975</v>
      </c>
      <c r="C7" s="4">
        <v>13637467</v>
      </c>
      <c r="D7" s="4">
        <v>2157975</v>
      </c>
      <c r="E7" s="4">
        <v>225825</v>
      </c>
      <c r="F7" s="4">
        <v>21645254</v>
      </c>
      <c r="G7" s="4">
        <v>3042758</v>
      </c>
      <c r="I7" s="7">
        <f t="shared" si="0"/>
        <v>0.27851368457977776</v>
      </c>
    </row>
    <row r="8" spans="1:9" x14ac:dyDescent="0.25">
      <c r="A8" s="4">
        <v>8443487</v>
      </c>
      <c r="B8" s="4">
        <v>7677471</v>
      </c>
      <c r="C8" s="4">
        <v>18950949</v>
      </c>
      <c r="D8" s="4">
        <v>7577471</v>
      </c>
      <c r="E8" s="4">
        <v>138883</v>
      </c>
      <c r="F8" s="4">
        <v>10507462</v>
      </c>
      <c r="G8" s="4">
        <v>8442581</v>
      </c>
      <c r="I8" s="7">
        <f t="shared" si="0"/>
        <v>2.8743009417861618</v>
      </c>
    </row>
    <row r="9" spans="1:9" x14ac:dyDescent="0.25">
      <c r="A9" s="4">
        <v>1558033</v>
      </c>
      <c r="B9" s="4">
        <v>12929599</v>
      </c>
      <c r="C9" s="4">
        <v>17280722</v>
      </c>
      <c r="D9" s="4">
        <v>12829599</v>
      </c>
      <c r="E9" s="4">
        <v>148004</v>
      </c>
      <c r="F9" s="4">
        <v>15722689</v>
      </c>
      <c r="G9" s="4">
        <v>13402050</v>
      </c>
      <c r="I9" s="7">
        <f t="shared" si="0"/>
        <v>4.3861017546052752</v>
      </c>
    </row>
    <row r="10" spans="1:9" x14ac:dyDescent="0.25">
      <c r="A10" s="4">
        <v>-1699302</v>
      </c>
      <c r="B10" s="4">
        <v>7321042</v>
      </c>
      <c r="C10" s="4">
        <v>12865033</v>
      </c>
      <c r="D10" s="4">
        <v>7221042</v>
      </c>
      <c r="E10" s="4">
        <v>214458</v>
      </c>
      <c r="F10" s="4">
        <v>14564335</v>
      </c>
      <c r="G10" s="4">
        <v>7683253</v>
      </c>
      <c r="I10" s="7">
        <f t="shared" si="0"/>
        <v>3.0959086029659648</v>
      </c>
    </row>
    <row r="11" spans="1:9" x14ac:dyDescent="0.25">
      <c r="A11" s="4">
        <v>-5958196</v>
      </c>
      <c r="B11" s="4">
        <v>14219713</v>
      </c>
      <c r="C11" s="4">
        <v>16739427</v>
      </c>
      <c r="D11" s="4">
        <v>14119713</v>
      </c>
      <c r="E11" s="4">
        <v>388391</v>
      </c>
      <c r="F11" s="4">
        <v>22697623</v>
      </c>
      <c r="G11" s="4">
        <v>14444580</v>
      </c>
      <c r="I11" s="7">
        <f t="shared" si="0"/>
        <v>4.418001500985012</v>
      </c>
    </row>
    <row r="12" spans="1:9" x14ac:dyDescent="0.25">
      <c r="A12" s="4">
        <v>-10450267</v>
      </c>
      <c r="B12" s="4">
        <v>7723385</v>
      </c>
      <c r="C12" s="4">
        <v>14483512</v>
      </c>
      <c r="D12" s="4">
        <v>7623385</v>
      </c>
      <c r="E12" s="4">
        <v>363396</v>
      </c>
      <c r="F12" s="4">
        <v>24933779</v>
      </c>
      <c r="G12" s="4">
        <v>8287099</v>
      </c>
      <c r="I12" s="7">
        <f t="shared" si="0"/>
        <v>2.1980203757624532</v>
      </c>
    </row>
    <row r="13" spans="1:9" x14ac:dyDescent="0.25">
      <c r="A13" s="4">
        <v>3102730</v>
      </c>
      <c r="B13" s="4">
        <v>13433304</v>
      </c>
      <c r="C13" s="4">
        <v>25517865</v>
      </c>
      <c r="D13" s="4">
        <v>13333304</v>
      </c>
      <c r="E13" s="4">
        <v>249202</v>
      </c>
      <c r="F13" s="4">
        <v>22415135</v>
      </c>
      <c r="G13" s="4">
        <v>14094108</v>
      </c>
      <c r="I13" s="7">
        <f t="shared" si="0"/>
        <v>3.1656269028799993</v>
      </c>
    </row>
    <row r="14" spans="1:9" x14ac:dyDescent="0.25">
      <c r="A14" s="4">
        <v>-9515416</v>
      </c>
      <c r="B14" s="4">
        <v>13245123</v>
      </c>
      <c r="C14" s="4">
        <v>13415355</v>
      </c>
      <c r="D14" s="4">
        <v>13145123</v>
      </c>
      <c r="E14" s="4">
        <v>363508</v>
      </c>
      <c r="F14" s="4">
        <v>22930771</v>
      </c>
      <c r="G14" s="4">
        <v>13602386</v>
      </c>
      <c r="I14" s="7">
        <f t="shared" si="0"/>
        <v>4.7870490150188196</v>
      </c>
    </row>
    <row r="15" spans="1:9" x14ac:dyDescent="0.25">
      <c r="A15" s="4">
        <v>9684313</v>
      </c>
      <c r="B15" s="4">
        <v>4759231</v>
      </c>
      <c r="C15" s="4">
        <v>22248542</v>
      </c>
      <c r="D15" s="4">
        <v>4659231</v>
      </c>
      <c r="E15" s="4">
        <v>344243</v>
      </c>
      <c r="F15" s="4">
        <v>12564229</v>
      </c>
      <c r="G15" s="4">
        <v>5569819</v>
      </c>
      <c r="I15" s="7">
        <f t="shared" si="0"/>
        <v>1.779422605881855</v>
      </c>
    </row>
    <row r="16" spans="1:9" x14ac:dyDescent="0.25">
      <c r="A16" s="4">
        <v>9067748</v>
      </c>
      <c r="B16" s="4">
        <v>6505027</v>
      </c>
      <c r="C16" s="4">
        <v>22729020</v>
      </c>
      <c r="D16" s="4">
        <v>6405027</v>
      </c>
      <c r="E16" s="4">
        <v>201039</v>
      </c>
      <c r="F16" s="4">
        <v>13661272</v>
      </c>
      <c r="G16" s="4">
        <v>7461786</v>
      </c>
      <c r="I16" s="7">
        <f t="shared" si="0"/>
        <v>2.1461522138097835</v>
      </c>
    </row>
    <row r="17" spans="1:9" x14ac:dyDescent="0.25">
      <c r="A17" s="4">
        <v>-1118680</v>
      </c>
      <c r="B17" s="4">
        <v>13207491</v>
      </c>
      <c r="C17" s="4">
        <v>20511012</v>
      </c>
      <c r="D17" s="4">
        <v>13107491</v>
      </c>
      <c r="E17" s="4">
        <v>245968</v>
      </c>
      <c r="F17" s="4">
        <v>21629692</v>
      </c>
      <c r="G17" s="4">
        <v>14167518</v>
      </c>
      <c r="I17" s="7">
        <f t="shared" si="0"/>
        <v>3.6417554704447808</v>
      </c>
    </row>
    <row r="18" spans="1:9" x14ac:dyDescent="0.25">
      <c r="A18" s="4">
        <v>5206084</v>
      </c>
      <c r="B18" s="4">
        <v>2402015</v>
      </c>
      <c r="C18" s="4">
        <v>21742356</v>
      </c>
      <c r="D18" s="4">
        <v>2302015</v>
      </c>
      <c r="E18" s="4">
        <v>148290</v>
      </c>
      <c r="F18" s="4">
        <v>16536272</v>
      </c>
      <c r="G18" s="4">
        <v>2694615</v>
      </c>
      <c r="I18" s="7">
        <f t="shared" si="0"/>
        <v>0.92058455878652834</v>
      </c>
    </row>
    <row r="19" spans="1:9" x14ac:dyDescent="0.25">
      <c r="A19" s="4">
        <v>-795227</v>
      </c>
      <c r="B19" s="4">
        <v>10817831</v>
      </c>
      <c r="C19" s="4">
        <v>22192778</v>
      </c>
      <c r="D19" s="4">
        <v>10717831</v>
      </c>
      <c r="E19" s="4">
        <v>200485</v>
      </c>
      <c r="F19" s="4">
        <v>22988005</v>
      </c>
      <c r="G19" s="4">
        <v>11319869</v>
      </c>
      <c r="I19" s="7">
        <f t="shared" si="0"/>
        <v>2.7479305292058758</v>
      </c>
    </row>
    <row r="20" spans="1:9" x14ac:dyDescent="0.25">
      <c r="A20" s="4">
        <v>9567109</v>
      </c>
      <c r="B20" s="4">
        <v>2080415</v>
      </c>
      <c r="C20" s="4">
        <v>23002305</v>
      </c>
      <c r="D20" s="4">
        <v>1980415</v>
      </c>
      <c r="E20" s="4">
        <v>199289</v>
      </c>
      <c r="F20" s="4">
        <v>13435196</v>
      </c>
      <c r="G20" s="4">
        <v>2915591</v>
      </c>
      <c r="I20" s="7">
        <f t="shared" si="0"/>
        <v>1.0453682153318928</v>
      </c>
    </row>
    <row r="21" spans="1:9" x14ac:dyDescent="0.25">
      <c r="A21" s="4">
        <v>-448492</v>
      </c>
      <c r="B21" s="4">
        <v>12111962</v>
      </c>
      <c r="C21" s="4">
        <v>15153729</v>
      </c>
      <c r="D21" s="4">
        <v>12011962</v>
      </c>
      <c r="E21" s="4">
        <v>428139</v>
      </c>
      <c r="F21" s="4">
        <v>15602221</v>
      </c>
      <c r="G21" s="4">
        <v>12570944</v>
      </c>
      <c r="I21" s="7">
        <f t="shared" si="0"/>
        <v>4.5444856009559746</v>
      </c>
    </row>
    <row r="22" spans="1:9" x14ac:dyDescent="0.25">
      <c r="A22" s="4">
        <v>-467841</v>
      </c>
      <c r="B22" s="4">
        <v>6960226</v>
      </c>
      <c r="C22" s="4">
        <v>15805880</v>
      </c>
      <c r="D22" s="4">
        <v>6860226</v>
      </c>
      <c r="E22" s="4">
        <v>207048</v>
      </c>
      <c r="F22" s="4">
        <v>16273721</v>
      </c>
      <c r="G22" s="4">
        <v>7606049</v>
      </c>
      <c r="I22" s="7">
        <f t="shared" si="0"/>
        <v>2.5016483353282704</v>
      </c>
    </row>
  </sheetData>
  <mergeCells count="1">
    <mergeCell ref="A1:G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I22"/>
  <sheetViews>
    <sheetView workbookViewId="0">
      <selection sqref="A1:G1"/>
    </sheetView>
  </sheetViews>
  <sheetFormatPr baseColWidth="10" defaultRowHeight="15" x14ac:dyDescent="0.25"/>
  <cols>
    <col min="9" max="9" width="13.28515625" customWidth="1"/>
  </cols>
  <sheetData>
    <row r="1" spans="1:9" ht="18.75" x14ac:dyDescent="0.3">
      <c r="A1" s="18" t="s">
        <v>23</v>
      </c>
      <c r="B1" s="18"/>
      <c r="C1" s="18"/>
      <c r="D1" s="18"/>
      <c r="E1" s="18"/>
      <c r="F1" s="18"/>
      <c r="G1" s="18"/>
    </row>
    <row r="2" spans="1:9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I2" s="6" t="s">
        <v>14</v>
      </c>
    </row>
    <row r="3" spans="1:9" x14ac:dyDescent="0.25">
      <c r="A3" s="4">
        <v>-4071868</v>
      </c>
      <c r="B3" s="4">
        <v>8971976</v>
      </c>
      <c r="C3" s="4">
        <v>15701038</v>
      </c>
      <c r="D3" s="4">
        <v>8871976</v>
      </c>
      <c r="E3" s="4">
        <v>203124</v>
      </c>
      <c r="F3" s="4">
        <v>19772906</v>
      </c>
      <c r="G3" s="4">
        <v>9253255</v>
      </c>
      <c r="I3" s="7">
        <f>Score_Altman(A3,B3,C3,D3,E3,F3,G3)</f>
        <v>2.9483925803838336</v>
      </c>
    </row>
    <row r="4" spans="1:9" x14ac:dyDescent="0.25">
      <c r="A4" s="4">
        <v>792206</v>
      </c>
      <c r="B4" s="4">
        <v>10563750</v>
      </c>
      <c r="C4" s="4">
        <v>22159962</v>
      </c>
      <c r="D4" s="4">
        <v>10463750</v>
      </c>
      <c r="E4" s="4">
        <v>208170</v>
      </c>
      <c r="F4" s="4">
        <v>21367756</v>
      </c>
      <c r="G4" s="4">
        <v>10921264</v>
      </c>
      <c r="I4" s="7">
        <f t="shared" ref="I4:I22" si="0">Score_Altman(A4,B4,C4,D4,E4,F4,G4)</f>
        <v>2.7667081584741609</v>
      </c>
    </row>
    <row r="5" spans="1:9" x14ac:dyDescent="0.25">
      <c r="A5" s="4">
        <v>5640419</v>
      </c>
      <c r="B5" s="4">
        <v>5228828</v>
      </c>
      <c r="C5" s="4">
        <v>25743034</v>
      </c>
      <c r="D5" s="4">
        <v>5128828</v>
      </c>
      <c r="E5" s="4">
        <v>306697</v>
      </c>
      <c r="F5" s="4">
        <v>20102615</v>
      </c>
      <c r="G5" s="4">
        <v>6114153</v>
      </c>
      <c r="I5" s="7">
        <f t="shared" si="0"/>
        <v>1.4511764041326058</v>
      </c>
    </row>
    <row r="6" spans="1:9" x14ac:dyDescent="0.25">
      <c r="A6" s="4">
        <v>4210530</v>
      </c>
      <c r="B6" s="4">
        <v>8992874</v>
      </c>
      <c r="C6" s="4">
        <v>19122529</v>
      </c>
      <c r="D6" s="4">
        <v>8892874</v>
      </c>
      <c r="E6" s="4">
        <v>255600</v>
      </c>
      <c r="F6" s="4">
        <v>14911999</v>
      </c>
      <c r="G6" s="4">
        <v>9287741</v>
      </c>
      <c r="I6" s="7">
        <f t="shared" si="0"/>
        <v>2.9527612432662238</v>
      </c>
    </row>
    <row r="7" spans="1:9" x14ac:dyDescent="0.25">
      <c r="A7" s="4">
        <v>2887233</v>
      </c>
      <c r="B7" s="4">
        <v>13147117</v>
      </c>
      <c r="C7" s="4">
        <v>21448394</v>
      </c>
      <c r="D7" s="4">
        <v>13047117</v>
      </c>
      <c r="E7" s="4">
        <v>196255</v>
      </c>
      <c r="F7" s="4">
        <v>18561161</v>
      </c>
      <c r="G7" s="4">
        <v>13543145</v>
      </c>
      <c r="I7" s="7">
        <f t="shared" si="0"/>
        <v>3.6642277796275926</v>
      </c>
    </row>
    <row r="8" spans="1:9" x14ac:dyDescent="0.25">
      <c r="A8" s="4">
        <v>1685691</v>
      </c>
      <c r="B8" s="4">
        <v>12971148</v>
      </c>
      <c r="C8" s="4">
        <v>21322103</v>
      </c>
      <c r="D8" s="4">
        <v>12871148</v>
      </c>
      <c r="E8" s="4">
        <v>347600</v>
      </c>
      <c r="F8" s="4">
        <v>19636412</v>
      </c>
      <c r="G8" s="4">
        <v>13906952</v>
      </c>
      <c r="I8" s="7">
        <f t="shared" si="0"/>
        <v>3.6008047670124168</v>
      </c>
    </row>
    <row r="9" spans="1:9" x14ac:dyDescent="0.25">
      <c r="A9" s="4">
        <v>-3225736</v>
      </c>
      <c r="B9" s="4">
        <v>4960797</v>
      </c>
      <c r="C9" s="4">
        <v>19580822</v>
      </c>
      <c r="D9" s="4">
        <v>4860797</v>
      </c>
      <c r="E9" s="4">
        <v>365350</v>
      </c>
      <c r="F9" s="4">
        <v>22806558</v>
      </c>
      <c r="G9" s="4">
        <v>5597803</v>
      </c>
      <c r="I9" s="7">
        <f t="shared" si="0"/>
        <v>1.2714110296843359</v>
      </c>
    </row>
    <row r="10" spans="1:9" x14ac:dyDescent="0.25">
      <c r="A10" s="4">
        <v>3125064</v>
      </c>
      <c r="B10" s="4">
        <v>14107331</v>
      </c>
      <c r="C10" s="4">
        <v>20552628</v>
      </c>
      <c r="D10" s="4">
        <v>14007331</v>
      </c>
      <c r="E10" s="4">
        <v>296064</v>
      </c>
      <c r="F10" s="4">
        <v>17427564</v>
      </c>
      <c r="G10" s="4">
        <v>14593538</v>
      </c>
      <c r="I10" s="7">
        <f t="shared" si="0"/>
        <v>4.1120273768929883</v>
      </c>
    </row>
    <row r="11" spans="1:9" x14ac:dyDescent="0.25">
      <c r="A11" s="4">
        <v>4819843</v>
      </c>
      <c r="B11" s="4">
        <v>6813112</v>
      </c>
      <c r="C11" s="4">
        <v>23154062</v>
      </c>
      <c r="D11" s="4">
        <v>6713112</v>
      </c>
      <c r="E11" s="4">
        <v>266841</v>
      </c>
      <c r="F11" s="4">
        <v>18334219</v>
      </c>
      <c r="G11" s="4">
        <v>7410181</v>
      </c>
      <c r="I11" s="7">
        <f t="shared" si="0"/>
        <v>1.9469759974911802</v>
      </c>
    </row>
    <row r="12" spans="1:9" x14ac:dyDescent="0.25">
      <c r="A12" s="4">
        <v>1524804</v>
      </c>
      <c r="B12" s="4">
        <v>5173541</v>
      </c>
      <c r="C12" s="4">
        <v>17658795</v>
      </c>
      <c r="D12" s="4">
        <v>5073541</v>
      </c>
      <c r="E12" s="4">
        <v>449026</v>
      </c>
      <c r="F12" s="4">
        <v>16133991</v>
      </c>
      <c r="G12" s="4">
        <v>5878212</v>
      </c>
      <c r="I12" s="7">
        <f t="shared" si="0"/>
        <v>1.811143808876218</v>
      </c>
    </row>
    <row r="13" spans="1:9" x14ac:dyDescent="0.25">
      <c r="A13" s="4">
        <v>-1946723</v>
      </c>
      <c r="B13" s="4">
        <v>6728620</v>
      </c>
      <c r="C13" s="4">
        <v>15406364</v>
      </c>
      <c r="D13" s="4">
        <v>6628620</v>
      </c>
      <c r="E13" s="4">
        <v>228340</v>
      </c>
      <c r="F13" s="4">
        <v>17353087</v>
      </c>
      <c r="G13" s="4">
        <v>6896293</v>
      </c>
      <c r="I13" s="7">
        <f t="shared" si="0"/>
        <v>2.334715547893206</v>
      </c>
    </row>
    <row r="14" spans="1:9" x14ac:dyDescent="0.25">
      <c r="A14" s="4">
        <v>1153126</v>
      </c>
      <c r="B14" s="4">
        <v>3656309</v>
      </c>
      <c r="C14" s="4">
        <v>22435472</v>
      </c>
      <c r="D14" s="4">
        <v>3556309</v>
      </c>
      <c r="E14" s="4">
        <v>370975</v>
      </c>
      <c r="F14" s="4">
        <v>21282346</v>
      </c>
      <c r="G14" s="4">
        <v>4634339</v>
      </c>
      <c r="I14" s="7">
        <f t="shared" si="0"/>
        <v>1.0297422458274885</v>
      </c>
    </row>
    <row r="15" spans="1:9" x14ac:dyDescent="0.25">
      <c r="A15" s="4">
        <v>-2832271</v>
      </c>
      <c r="B15" s="4">
        <v>9000832</v>
      </c>
      <c r="C15" s="4">
        <v>11683026</v>
      </c>
      <c r="D15" s="4">
        <v>8900832</v>
      </c>
      <c r="E15" s="4">
        <v>107927</v>
      </c>
      <c r="F15" s="4">
        <v>14515297</v>
      </c>
      <c r="G15" s="4">
        <v>9464077</v>
      </c>
      <c r="I15" s="7">
        <f t="shared" si="0"/>
        <v>4.1155364104236849</v>
      </c>
    </row>
    <row r="16" spans="1:9" x14ac:dyDescent="0.25">
      <c r="A16" s="4">
        <v>2101397</v>
      </c>
      <c r="B16" s="4">
        <v>8502703</v>
      </c>
      <c r="C16" s="4">
        <v>20815120</v>
      </c>
      <c r="D16" s="4">
        <v>8402703</v>
      </c>
      <c r="E16" s="4">
        <v>309383</v>
      </c>
      <c r="F16" s="4">
        <v>18713723</v>
      </c>
      <c r="G16" s="4">
        <v>9212010</v>
      </c>
      <c r="I16" s="7">
        <f t="shared" si="0"/>
        <v>2.4772210286075791</v>
      </c>
    </row>
    <row r="17" spans="1:9" x14ac:dyDescent="0.25">
      <c r="A17" s="4">
        <v>-1287452</v>
      </c>
      <c r="B17" s="4">
        <v>10478281</v>
      </c>
      <c r="C17" s="4">
        <v>17824456</v>
      </c>
      <c r="D17" s="4">
        <v>10378281</v>
      </c>
      <c r="E17" s="4">
        <v>392505</v>
      </c>
      <c r="F17" s="4">
        <v>19111908</v>
      </c>
      <c r="G17" s="4">
        <v>10742805</v>
      </c>
      <c r="I17" s="7">
        <f t="shared" si="0"/>
        <v>3.2721716221007062</v>
      </c>
    </row>
    <row r="18" spans="1:9" x14ac:dyDescent="0.25">
      <c r="A18" s="4">
        <v>-12405719</v>
      </c>
      <c r="B18" s="4">
        <v>749472</v>
      </c>
      <c r="C18" s="4">
        <v>11625342</v>
      </c>
      <c r="D18" s="4">
        <v>649472</v>
      </c>
      <c r="E18" s="4">
        <v>485882</v>
      </c>
      <c r="F18" s="4">
        <v>24031061</v>
      </c>
      <c r="G18" s="4">
        <v>1704025</v>
      </c>
      <c r="I18" s="7">
        <f t="shared" si="0"/>
        <v>-0.84737226072129035</v>
      </c>
    </row>
    <row r="19" spans="1:9" x14ac:dyDescent="0.25">
      <c r="A19" s="4">
        <v>-13437609</v>
      </c>
      <c r="B19" s="4">
        <v>13282127</v>
      </c>
      <c r="C19" s="4">
        <v>11413864</v>
      </c>
      <c r="D19" s="4">
        <v>13182127</v>
      </c>
      <c r="E19" s="4">
        <v>451232</v>
      </c>
      <c r="F19" s="4">
        <v>24851473</v>
      </c>
      <c r="G19" s="4">
        <v>14021717</v>
      </c>
      <c r="I19" s="7">
        <f t="shared" si="0"/>
        <v>5.2657809269204519</v>
      </c>
    </row>
    <row r="20" spans="1:9" x14ac:dyDescent="0.25">
      <c r="A20" s="4">
        <v>7032191</v>
      </c>
      <c r="B20" s="4">
        <v>10833928</v>
      </c>
      <c r="C20" s="4">
        <v>20761346</v>
      </c>
      <c r="D20" s="4">
        <v>10733928</v>
      </c>
      <c r="E20" s="4">
        <v>108050</v>
      </c>
      <c r="F20" s="4">
        <v>13729155</v>
      </c>
      <c r="G20" s="4">
        <v>11770412</v>
      </c>
      <c r="I20" s="7">
        <f t="shared" si="0"/>
        <v>3.4142665350455639</v>
      </c>
    </row>
    <row r="21" spans="1:9" x14ac:dyDescent="0.25">
      <c r="A21" s="4">
        <v>4585375</v>
      </c>
      <c r="B21" s="4">
        <v>3051865</v>
      </c>
      <c r="C21" s="4">
        <v>16049610</v>
      </c>
      <c r="D21" s="4">
        <v>2951865</v>
      </c>
      <c r="E21" s="4">
        <v>461580</v>
      </c>
      <c r="F21" s="4">
        <v>11464235</v>
      </c>
      <c r="G21" s="4">
        <v>3695361</v>
      </c>
      <c r="I21" s="7">
        <f t="shared" si="0"/>
        <v>1.4701666042188455</v>
      </c>
    </row>
    <row r="22" spans="1:9" x14ac:dyDescent="0.25">
      <c r="A22" s="4">
        <v>-5673288</v>
      </c>
      <c r="B22" s="4">
        <v>9253962</v>
      </c>
      <c r="C22" s="4">
        <v>13532916</v>
      </c>
      <c r="D22" s="4">
        <v>9153962</v>
      </c>
      <c r="E22" s="4">
        <v>250839</v>
      </c>
      <c r="F22" s="4">
        <v>19206204</v>
      </c>
      <c r="G22" s="4">
        <v>9488747</v>
      </c>
      <c r="I22" s="7">
        <f t="shared" si="0"/>
        <v>3.3947584178554155</v>
      </c>
    </row>
  </sheetData>
  <mergeCells count="1">
    <mergeCell ref="A1:G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22"/>
  <sheetViews>
    <sheetView workbookViewId="0">
      <selection activeCell="E7" sqref="E7"/>
    </sheetView>
  </sheetViews>
  <sheetFormatPr baseColWidth="10" defaultRowHeight="15" x14ac:dyDescent="0.25"/>
  <cols>
    <col min="9" max="9" width="12.85546875" customWidth="1"/>
  </cols>
  <sheetData>
    <row r="1" spans="1:9" ht="18.75" x14ac:dyDescent="0.3">
      <c r="A1" s="18" t="s">
        <v>29</v>
      </c>
      <c r="B1" s="18"/>
      <c r="C1" s="18"/>
      <c r="D1" s="18"/>
      <c r="E1" s="18"/>
      <c r="F1" s="18"/>
      <c r="G1" s="18"/>
    </row>
    <row r="2" spans="1:9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I2" s="6" t="s">
        <v>15</v>
      </c>
    </row>
    <row r="3" spans="1:9" x14ac:dyDescent="0.25">
      <c r="A3" s="4">
        <v>-6311341</v>
      </c>
      <c r="B3" s="4">
        <v>12219821</v>
      </c>
      <c r="C3" s="4">
        <v>14950608</v>
      </c>
      <c r="D3" s="4">
        <v>12119821</v>
      </c>
      <c r="E3" s="4">
        <v>263374</v>
      </c>
      <c r="F3" s="4">
        <v>21261949</v>
      </c>
      <c r="G3" s="4">
        <v>12774705</v>
      </c>
      <c r="I3" s="7">
        <f>Score_Altman(A3,B3,C3,D3,E3,F3,G3)</f>
        <v>4.1739169840517194</v>
      </c>
    </row>
    <row r="4" spans="1:9" x14ac:dyDescent="0.25">
      <c r="A4" s="4">
        <v>8695609</v>
      </c>
      <c r="B4" s="4">
        <v>5934684</v>
      </c>
      <c r="C4" s="4">
        <v>21803518</v>
      </c>
      <c r="D4" s="4">
        <v>5834684</v>
      </c>
      <c r="E4" s="4">
        <v>478604</v>
      </c>
      <c r="F4" s="4">
        <v>13107909</v>
      </c>
      <c r="G4" s="4">
        <v>6794410</v>
      </c>
      <c r="I4" s="7">
        <f t="shared" ref="I4:I22" si="0">Score_Altman(A4,B4,C4,D4,E4,F4,G4)</f>
        <v>2.0759504603947008</v>
      </c>
    </row>
    <row r="5" spans="1:9" x14ac:dyDescent="0.25">
      <c r="A5" s="4">
        <v>11842621</v>
      </c>
      <c r="B5" s="4">
        <v>5946111</v>
      </c>
      <c r="C5" s="4">
        <v>23514900</v>
      </c>
      <c r="D5" s="4">
        <v>5846111</v>
      </c>
      <c r="E5" s="4">
        <v>445298</v>
      </c>
      <c r="F5" s="4">
        <v>11672279</v>
      </c>
      <c r="G5" s="4">
        <v>6142666</v>
      </c>
      <c r="I5" s="7">
        <f t="shared" si="0"/>
        <v>2.0626346260137094</v>
      </c>
    </row>
    <row r="6" spans="1:9" x14ac:dyDescent="0.25">
      <c r="A6" s="4">
        <v>4948429</v>
      </c>
      <c r="B6" s="4">
        <v>6452618</v>
      </c>
      <c r="C6" s="4">
        <v>23486157</v>
      </c>
      <c r="D6" s="4">
        <v>6352618</v>
      </c>
      <c r="E6" s="4">
        <v>323819</v>
      </c>
      <c r="F6" s="4">
        <v>18537728</v>
      </c>
      <c r="G6" s="4">
        <v>6902284</v>
      </c>
      <c r="I6" s="7">
        <f t="shared" si="0"/>
        <v>1.8341424759024119</v>
      </c>
    </row>
    <row r="7" spans="1:9" x14ac:dyDescent="0.25">
      <c r="A7" s="4">
        <v>-1437436</v>
      </c>
      <c r="B7" s="4">
        <v>9825695</v>
      </c>
      <c r="C7" s="4">
        <v>23468782</v>
      </c>
      <c r="D7" s="4">
        <v>9725695</v>
      </c>
      <c r="E7" s="4">
        <v>182774</v>
      </c>
      <c r="F7" s="4">
        <v>24906218</v>
      </c>
      <c r="G7" s="4">
        <v>9941860</v>
      </c>
      <c r="I7" s="7">
        <f t="shared" si="0"/>
        <v>2.3077932495717843</v>
      </c>
    </row>
    <row r="8" spans="1:9" x14ac:dyDescent="0.25">
      <c r="A8" s="4">
        <v>2658190</v>
      </c>
      <c r="B8" s="4">
        <v>5882746</v>
      </c>
      <c r="C8" s="4">
        <v>24548838</v>
      </c>
      <c r="D8" s="4">
        <v>5782746</v>
      </c>
      <c r="E8" s="4">
        <v>189074</v>
      </c>
      <c r="F8" s="4">
        <v>21890648</v>
      </c>
      <c r="G8" s="4">
        <v>6665520</v>
      </c>
      <c r="I8" s="7">
        <f t="shared" si="0"/>
        <v>1.5192087168496207</v>
      </c>
    </row>
    <row r="9" spans="1:9" x14ac:dyDescent="0.25">
      <c r="A9" s="4">
        <v>-3107811</v>
      </c>
      <c r="B9" s="4">
        <v>13189767</v>
      </c>
      <c r="C9" s="4">
        <v>15253511</v>
      </c>
      <c r="D9" s="4">
        <v>13089767</v>
      </c>
      <c r="E9" s="4">
        <v>215518</v>
      </c>
      <c r="F9" s="4">
        <v>18361322</v>
      </c>
      <c r="G9" s="4">
        <v>14021906</v>
      </c>
      <c r="I9" s="7">
        <f t="shared" si="0"/>
        <v>4.7233610434768831</v>
      </c>
    </row>
    <row r="10" spans="1:9" x14ac:dyDescent="0.25">
      <c r="A10" s="4">
        <v>-3924307</v>
      </c>
      <c r="B10" s="4">
        <v>2011386</v>
      </c>
      <c r="C10" s="4">
        <v>20764602</v>
      </c>
      <c r="D10" s="4">
        <v>1911386</v>
      </c>
      <c r="E10" s="4">
        <v>231851</v>
      </c>
      <c r="F10" s="4">
        <v>24688909</v>
      </c>
      <c r="G10" s="4">
        <v>2140499</v>
      </c>
      <c r="I10" s="7">
        <f t="shared" si="0"/>
        <v>0.32120544608455637</v>
      </c>
    </row>
    <row r="11" spans="1:9" x14ac:dyDescent="0.25">
      <c r="A11" s="4">
        <v>-299386</v>
      </c>
      <c r="B11" s="4">
        <v>9935835</v>
      </c>
      <c r="C11" s="4">
        <v>16359826</v>
      </c>
      <c r="D11" s="4">
        <v>9835835</v>
      </c>
      <c r="E11" s="4">
        <v>113945</v>
      </c>
      <c r="F11" s="4">
        <v>16659212</v>
      </c>
      <c r="G11" s="4">
        <v>10043809</v>
      </c>
      <c r="I11" s="7">
        <f t="shared" si="0"/>
        <v>3.4297470434034913</v>
      </c>
    </row>
    <row r="12" spans="1:9" x14ac:dyDescent="0.25">
      <c r="A12" s="4">
        <v>3215388</v>
      </c>
      <c r="B12" s="4">
        <v>10563993</v>
      </c>
      <c r="C12" s="4">
        <v>22907859</v>
      </c>
      <c r="D12" s="4">
        <v>10463993</v>
      </c>
      <c r="E12" s="4">
        <v>160618</v>
      </c>
      <c r="F12" s="4">
        <v>19692471</v>
      </c>
      <c r="G12" s="4">
        <v>11242611</v>
      </c>
      <c r="I12" s="7">
        <f t="shared" si="0"/>
        <v>2.8166187203413471</v>
      </c>
    </row>
    <row r="13" spans="1:9" x14ac:dyDescent="0.25">
      <c r="A13" s="4">
        <v>-1382090</v>
      </c>
      <c r="B13" s="4">
        <v>11377713</v>
      </c>
      <c r="C13" s="4">
        <v>19613743</v>
      </c>
      <c r="D13" s="4">
        <v>11277713</v>
      </c>
      <c r="E13" s="4">
        <v>436345</v>
      </c>
      <c r="F13" s="4">
        <v>20995833</v>
      </c>
      <c r="G13" s="4">
        <v>11890815</v>
      </c>
      <c r="I13" s="7">
        <f t="shared" si="0"/>
        <v>3.2431462536363722</v>
      </c>
    </row>
    <row r="14" spans="1:9" x14ac:dyDescent="0.25">
      <c r="A14" s="4">
        <v>-5527357</v>
      </c>
      <c r="B14" s="4">
        <v>2634310</v>
      </c>
      <c r="C14" s="4">
        <v>17167143</v>
      </c>
      <c r="D14" s="4">
        <v>2534310</v>
      </c>
      <c r="E14" s="4">
        <v>225513</v>
      </c>
      <c r="F14" s="4">
        <v>22694500</v>
      </c>
      <c r="G14" s="4">
        <v>3438036</v>
      </c>
      <c r="I14" s="7">
        <f t="shared" si="0"/>
        <v>0.52165808653695744</v>
      </c>
    </row>
    <row r="15" spans="1:9" x14ac:dyDescent="0.25">
      <c r="A15" s="4">
        <v>8428979</v>
      </c>
      <c r="B15" s="4">
        <v>5310524</v>
      </c>
      <c r="C15" s="4">
        <v>18437602</v>
      </c>
      <c r="D15" s="4">
        <v>5210524</v>
      </c>
      <c r="E15" s="4">
        <v>184084</v>
      </c>
      <c r="F15" s="4">
        <v>10008623</v>
      </c>
      <c r="G15" s="4">
        <v>5946934</v>
      </c>
      <c r="I15" s="7">
        <f t="shared" si="0"/>
        <v>2.2176795695351146</v>
      </c>
    </row>
    <row r="16" spans="1:9" x14ac:dyDescent="0.25">
      <c r="A16" s="4">
        <v>8631307</v>
      </c>
      <c r="B16" s="4">
        <v>4043264</v>
      </c>
      <c r="C16" s="4">
        <v>20863713</v>
      </c>
      <c r="D16" s="4">
        <v>3943264</v>
      </c>
      <c r="E16" s="4">
        <v>216505</v>
      </c>
      <c r="F16" s="4">
        <v>12232406</v>
      </c>
      <c r="G16" s="4">
        <v>5041157</v>
      </c>
      <c r="I16" s="7">
        <f t="shared" si="0"/>
        <v>1.643455818294256</v>
      </c>
    </row>
    <row r="17" spans="1:9" x14ac:dyDescent="0.25">
      <c r="A17" s="4">
        <v>-2713308</v>
      </c>
      <c r="B17" s="4">
        <v>7931167</v>
      </c>
      <c r="C17" s="4">
        <v>10681783</v>
      </c>
      <c r="D17" s="4">
        <v>7831167</v>
      </c>
      <c r="E17" s="4">
        <v>434862</v>
      </c>
      <c r="F17" s="4">
        <v>13395091</v>
      </c>
      <c r="G17" s="4">
        <v>8042661</v>
      </c>
      <c r="I17" s="7">
        <f t="shared" si="0"/>
        <v>3.9256741578419745</v>
      </c>
    </row>
    <row r="18" spans="1:9" x14ac:dyDescent="0.25">
      <c r="A18" s="4">
        <v>-9895761</v>
      </c>
      <c r="B18" s="4">
        <v>14437013</v>
      </c>
      <c r="C18" s="4">
        <v>12930169</v>
      </c>
      <c r="D18" s="4">
        <v>14337013</v>
      </c>
      <c r="E18" s="4">
        <v>351564</v>
      </c>
      <c r="F18" s="4">
        <v>22825930</v>
      </c>
      <c r="G18" s="4">
        <v>14865971</v>
      </c>
      <c r="I18" s="7">
        <f t="shared" si="0"/>
        <v>5.4616179321218636</v>
      </c>
    </row>
    <row r="19" spans="1:9" x14ac:dyDescent="0.25">
      <c r="A19" s="4">
        <v>4022732</v>
      </c>
      <c r="B19" s="4">
        <v>11162302</v>
      </c>
      <c r="C19" s="4">
        <v>20967235</v>
      </c>
      <c r="D19" s="4">
        <v>11062302</v>
      </c>
      <c r="E19" s="4">
        <v>110548</v>
      </c>
      <c r="F19" s="4">
        <v>16944503</v>
      </c>
      <c r="G19" s="4">
        <v>11673279</v>
      </c>
      <c r="I19" s="7">
        <f t="shared" si="0"/>
        <v>3.2767208417929541</v>
      </c>
    </row>
    <row r="20" spans="1:9" x14ac:dyDescent="0.25">
      <c r="A20" s="4">
        <v>-6873012</v>
      </c>
      <c r="B20" s="4">
        <v>1468236</v>
      </c>
      <c r="C20" s="4">
        <v>16714157</v>
      </c>
      <c r="D20" s="4">
        <v>1368236</v>
      </c>
      <c r="E20" s="4">
        <v>103916</v>
      </c>
      <c r="F20" s="4">
        <v>23587169</v>
      </c>
      <c r="G20" s="4">
        <v>1876747</v>
      </c>
      <c r="I20" s="7">
        <f t="shared" si="0"/>
        <v>1.4487523689651362E-2</v>
      </c>
    </row>
    <row r="21" spans="1:9" x14ac:dyDescent="0.25">
      <c r="A21" s="4">
        <v>-8261638</v>
      </c>
      <c r="B21" s="4">
        <v>11544410</v>
      </c>
      <c r="C21" s="4">
        <v>11630330</v>
      </c>
      <c r="D21" s="4">
        <v>11444410</v>
      </c>
      <c r="E21" s="4">
        <v>226878</v>
      </c>
      <c r="F21" s="4">
        <v>19891968</v>
      </c>
      <c r="G21" s="4">
        <v>11879381</v>
      </c>
      <c r="I21" s="7">
        <f t="shared" si="0"/>
        <v>4.8117166849142325</v>
      </c>
    </row>
    <row r="22" spans="1:9" x14ac:dyDescent="0.25">
      <c r="A22" s="4">
        <v>-225852</v>
      </c>
      <c r="B22" s="4">
        <v>1566182</v>
      </c>
      <c r="C22" s="4">
        <v>19721372</v>
      </c>
      <c r="D22" s="4">
        <v>1466182</v>
      </c>
      <c r="E22" s="4">
        <v>478732</v>
      </c>
      <c r="F22" s="4">
        <v>19947224</v>
      </c>
      <c r="G22" s="4">
        <v>2268761</v>
      </c>
      <c r="I22" s="7">
        <f t="shared" si="0"/>
        <v>0.47210265997456147</v>
      </c>
    </row>
  </sheetData>
  <mergeCells count="1">
    <mergeCell ref="A1:G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22"/>
  <sheetViews>
    <sheetView workbookViewId="0">
      <selection activeCell="L25" sqref="L25"/>
    </sheetView>
  </sheetViews>
  <sheetFormatPr baseColWidth="10" defaultRowHeight="15" x14ac:dyDescent="0.25"/>
  <cols>
    <col min="9" max="9" width="13.5703125" customWidth="1"/>
  </cols>
  <sheetData>
    <row r="1" spans="1:9" ht="18.75" x14ac:dyDescent="0.3">
      <c r="A1" s="18" t="s">
        <v>24</v>
      </c>
      <c r="B1" s="18"/>
      <c r="C1" s="18"/>
      <c r="D1" s="18"/>
      <c r="E1" s="18"/>
      <c r="F1" s="18"/>
      <c r="G1" s="18"/>
    </row>
    <row r="2" spans="1:9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I2" s="3" t="s">
        <v>16</v>
      </c>
    </row>
    <row r="3" spans="1:9" x14ac:dyDescent="0.25">
      <c r="A3" s="4">
        <v>-2952448</v>
      </c>
      <c r="B3" s="4">
        <v>6526653</v>
      </c>
      <c r="C3" s="4">
        <v>17329098</v>
      </c>
      <c r="D3" s="4">
        <v>6426653</v>
      </c>
      <c r="E3" s="4">
        <v>295961</v>
      </c>
      <c r="F3" s="4">
        <v>20281546</v>
      </c>
      <c r="G3" s="4">
        <v>7420602</v>
      </c>
      <c r="I3" s="4">
        <f>Score_Altman(A3,B3,C3,D3,E3,F3,G3)</f>
        <v>1.9832099234295399</v>
      </c>
    </row>
    <row r="4" spans="1:9" x14ac:dyDescent="0.25">
      <c r="A4" s="4">
        <v>1543361</v>
      </c>
      <c r="B4" s="4">
        <v>6638859</v>
      </c>
      <c r="C4" s="4">
        <v>21352018</v>
      </c>
      <c r="D4" s="4">
        <v>6538859</v>
      </c>
      <c r="E4" s="4">
        <v>223577</v>
      </c>
      <c r="F4" s="4">
        <v>19808657</v>
      </c>
      <c r="G4" s="4">
        <v>7089111</v>
      </c>
      <c r="I4" s="4">
        <f t="shared" ref="I4:I22" si="0">Score_Altman(A4,B4,C4,D4,E4,F4,G4)</f>
        <v>1.8710779651298028</v>
      </c>
    </row>
    <row r="5" spans="1:9" x14ac:dyDescent="0.25">
      <c r="A5" s="4">
        <v>-5243746</v>
      </c>
      <c r="B5" s="4">
        <v>9332375</v>
      </c>
      <c r="C5" s="4">
        <v>19695101</v>
      </c>
      <c r="D5" s="4">
        <v>9232375</v>
      </c>
      <c r="E5" s="4">
        <v>494116</v>
      </c>
      <c r="F5" s="4">
        <v>24938847</v>
      </c>
      <c r="G5" s="4">
        <v>9470754</v>
      </c>
      <c r="I5" s="4">
        <f t="shared" si="0"/>
        <v>2.3830842793352702</v>
      </c>
    </row>
    <row r="6" spans="1:9" x14ac:dyDescent="0.25">
      <c r="A6" s="4">
        <v>-10634262</v>
      </c>
      <c r="B6" s="4">
        <v>6572345</v>
      </c>
      <c r="C6" s="4">
        <v>12962398</v>
      </c>
      <c r="D6" s="4">
        <v>6472345</v>
      </c>
      <c r="E6" s="4">
        <v>274535</v>
      </c>
      <c r="F6" s="4">
        <v>23596660</v>
      </c>
      <c r="G6" s="4">
        <v>7083771</v>
      </c>
      <c r="I6" s="4">
        <f t="shared" si="0"/>
        <v>1.9260387490340214</v>
      </c>
    </row>
    <row r="7" spans="1:9" x14ac:dyDescent="0.25">
      <c r="A7" s="4">
        <v>5675282</v>
      </c>
      <c r="B7" s="4">
        <v>8399156</v>
      </c>
      <c r="C7" s="4">
        <v>17984770</v>
      </c>
      <c r="D7" s="4">
        <v>8299156</v>
      </c>
      <c r="E7" s="4">
        <v>464276</v>
      </c>
      <c r="F7" s="4">
        <v>12309488</v>
      </c>
      <c r="G7" s="4">
        <v>8596679</v>
      </c>
      <c r="I7" s="4">
        <f t="shared" si="0"/>
        <v>3.0554436905480218</v>
      </c>
    </row>
    <row r="8" spans="1:9" x14ac:dyDescent="0.25">
      <c r="A8" s="4">
        <v>5912342</v>
      </c>
      <c r="B8" s="4">
        <v>13029767</v>
      </c>
      <c r="C8" s="4">
        <v>17336875</v>
      </c>
      <c r="D8" s="4">
        <v>12929767</v>
      </c>
      <c r="E8" s="4">
        <v>170608</v>
      </c>
      <c r="F8" s="4">
        <v>11424533</v>
      </c>
      <c r="G8" s="4">
        <v>13766054</v>
      </c>
      <c r="I8" s="4">
        <f t="shared" si="0"/>
        <v>4.7247464392476637</v>
      </c>
    </row>
    <row r="9" spans="1:9" x14ac:dyDescent="0.25">
      <c r="A9" s="4">
        <v>-1273462</v>
      </c>
      <c r="B9" s="4">
        <v>2532301</v>
      </c>
      <c r="C9" s="4">
        <v>14262889</v>
      </c>
      <c r="D9" s="4">
        <v>2432301</v>
      </c>
      <c r="E9" s="4">
        <v>302741</v>
      </c>
      <c r="F9" s="4">
        <v>15536351</v>
      </c>
      <c r="G9" s="4">
        <v>3461521</v>
      </c>
      <c r="I9" s="4">
        <f t="shared" si="0"/>
        <v>0.95832447319648262</v>
      </c>
    </row>
    <row r="10" spans="1:9" x14ac:dyDescent="0.25">
      <c r="A10" s="4">
        <v>-2703333</v>
      </c>
      <c r="B10" s="4">
        <v>5781080</v>
      </c>
      <c r="C10" s="4">
        <v>13847753</v>
      </c>
      <c r="D10" s="4">
        <v>5681080</v>
      </c>
      <c r="E10" s="4">
        <v>144752</v>
      </c>
      <c r="F10" s="4">
        <v>16551086</v>
      </c>
      <c r="G10" s="4">
        <v>5983331</v>
      </c>
      <c r="I10" s="4">
        <f t="shared" si="0"/>
        <v>2.1409314298837483</v>
      </c>
    </row>
    <row r="11" spans="1:9" x14ac:dyDescent="0.25">
      <c r="A11" s="4">
        <v>11531803</v>
      </c>
      <c r="B11" s="4">
        <v>13246470</v>
      </c>
      <c r="C11" s="4">
        <v>24683986</v>
      </c>
      <c r="D11" s="4">
        <v>13146470</v>
      </c>
      <c r="E11" s="4">
        <v>303524</v>
      </c>
      <c r="F11" s="4">
        <v>13152183</v>
      </c>
      <c r="G11" s="4">
        <v>13955952</v>
      </c>
      <c r="I11" s="4">
        <f t="shared" si="0"/>
        <v>3.6481288120937547</v>
      </c>
    </row>
    <row r="12" spans="1:9" x14ac:dyDescent="0.25">
      <c r="A12" s="4">
        <v>-127677</v>
      </c>
      <c r="B12" s="4">
        <v>4905012</v>
      </c>
      <c r="C12" s="4">
        <v>20800746</v>
      </c>
      <c r="D12" s="4">
        <v>4805012</v>
      </c>
      <c r="E12" s="4">
        <v>463601</v>
      </c>
      <c r="F12" s="4">
        <v>20928423</v>
      </c>
      <c r="G12" s="4">
        <v>5554072</v>
      </c>
      <c r="I12" s="4">
        <f t="shared" si="0"/>
        <v>1.3651109221808679</v>
      </c>
    </row>
    <row r="13" spans="1:9" x14ac:dyDescent="0.25">
      <c r="A13" s="4">
        <v>-1120625</v>
      </c>
      <c r="B13" s="4">
        <v>9730429</v>
      </c>
      <c r="C13" s="4">
        <v>12657304</v>
      </c>
      <c r="D13" s="4">
        <v>9630429</v>
      </c>
      <c r="E13" s="4">
        <v>416987</v>
      </c>
      <c r="F13" s="4">
        <v>13777929</v>
      </c>
      <c r="G13" s="4">
        <v>10256672</v>
      </c>
      <c r="I13" s="4">
        <f t="shared" si="0"/>
        <v>4.3085418899048795</v>
      </c>
    </row>
    <row r="14" spans="1:9" x14ac:dyDescent="0.25">
      <c r="A14" s="4">
        <v>2649626</v>
      </c>
      <c r="B14" s="4">
        <v>5619720</v>
      </c>
      <c r="C14" s="4">
        <v>16789369</v>
      </c>
      <c r="D14" s="4">
        <v>5519720</v>
      </c>
      <c r="E14" s="4">
        <v>158010</v>
      </c>
      <c r="F14" s="4">
        <v>14139743</v>
      </c>
      <c r="G14" s="4">
        <v>5972295</v>
      </c>
      <c r="I14" s="4">
        <f t="shared" si="0"/>
        <v>2.1049708039981683</v>
      </c>
    </row>
    <row r="15" spans="1:9" x14ac:dyDescent="0.25">
      <c r="A15" s="4">
        <v>190510</v>
      </c>
      <c r="B15" s="4">
        <v>701461</v>
      </c>
      <c r="C15" s="4">
        <v>15147681</v>
      </c>
      <c r="D15" s="4">
        <v>601461</v>
      </c>
      <c r="E15" s="4">
        <v>117172</v>
      </c>
      <c r="F15" s="4">
        <v>14957171</v>
      </c>
      <c r="G15" s="4">
        <v>1071900</v>
      </c>
      <c r="I15" s="4">
        <f t="shared" si="0"/>
        <v>0.28634782144339632</v>
      </c>
    </row>
    <row r="16" spans="1:9" x14ac:dyDescent="0.25">
      <c r="A16" s="4">
        <v>9346037</v>
      </c>
      <c r="B16" s="4">
        <v>13186318</v>
      </c>
      <c r="C16" s="4">
        <v>19394753</v>
      </c>
      <c r="D16" s="4">
        <v>13086318</v>
      </c>
      <c r="E16" s="4">
        <v>317675</v>
      </c>
      <c r="F16" s="4">
        <v>10048716</v>
      </c>
      <c r="G16" s="4">
        <v>13907812</v>
      </c>
      <c r="I16" s="4">
        <f t="shared" si="0"/>
        <v>4.4920772736349264</v>
      </c>
    </row>
    <row r="17" spans="1:9" x14ac:dyDescent="0.25">
      <c r="A17" s="4">
        <v>-7959666</v>
      </c>
      <c r="B17" s="4">
        <v>8159588</v>
      </c>
      <c r="C17" s="4">
        <v>12550453</v>
      </c>
      <c r="D17" s="4">
        <v>8059588</v>
      </c>
      <c r="E17" s="4">
        <v>448773</v>
      </c>
      <c r="F17" s="4">
        <v>20510119</v>
      </c>
      <c r="G17" s="4">
        <v>8465488</v>
      </c>
      <c r="I17" s="4">
        <f t="shared" si="0"/>
        <v>2.9552920128472153</v>
      </c>
    </row>
    <row r="18" spans="1:9" x14ac:dyDescent="0.25">
      <c r="A18" s="4">
        <v>-12912119</v>
      </c>
      <c r="B18" s="4">
        <v>8507030</v>
      </c>
      <c r="C18" s="4">
        <v>11007748</v>
      </c>
      <c r="D18" s="4">
        <v>8407030</v>
      </c>
      <c r="E18" s="4">
        <v>481935</v>
      </c>
      <c r="F18" s="4">
        <v>23919867</v>
      </c>
      <c r="G18" s="4">
        <v>9227676</v>
      </c>
      <c r="I18" s="4">
        <f t="shared" si="0"/>
        <v>3.0442208794755539</v>
      </c>
    </row>
    <row r="19" spans="1:9" x14ac:dyDescent="0.25">
      <c r="A19" s="4">
        <v>5220520</v>
      </c>
      <c r="B19" s="4">
        <v>3143929</v>
      </c>
      <c r="C19" s="4">
        <v>21746643</v>
      </c>
      <c r="D19" s="4">
        <v>3043929</v>
      </c>
      <c r="E19" s="4">
        <v>278393</v>
      </c>
      <c r="F19" s="4">
        <v>16526123</v>
      </c>
      <c r="G19" s="4">
        <v>4047922</v>
      </c>
      <c r="I19" s="4">
        <f t="shared" si="0"/>
        <v>1.1484423052098423</v>
      </c>
    </row>
    <row r="20" spans="1:9" x14ac:dyDescent="0.25">
      <c r="A20" s="4">
        <v>-3704886</v>
      </c>
      <c r="B20" s="4">
        <v>7581114</v>
      </c>
      <c r="C20" s="4">
        <v>20640504</v>
      </c>
      <c r="D20" s="4">
        <v>7481114</v>
      </c>
      <c r="E20" s="4">
        <v>223073</v>
      </c>
      <c r="F20" s="4">
        <v>24345390</v>
      </c>
      <c r="G20" s="4">
        <v>7889934</v>
      </c>
      <c r="I20" s="4">
        <f t="shared" si="0"/>
        <v>1.8822647010704068</v>
      </c>
    </row>
    <row r="21" spans="1:9" x14ac:dyDescent="0.25">
      <c r="A21" s="4">
        <v>1331058</v>
      </c>
      <c r="B21" s="4">
        <v>5193889</v>
      </c>
      <c r="C21" s="4">
        <v>15605653</v>
      </c>
      <c r="D21" s="4">
        <v>5093889</v>
      </c>
      <c r="E21" s="4">
        <v>260482</v>
      </c>
      <c r="F21" s="4">
        <v>14274595</v>
      </c>
      <c r="G21" s="4">
        <v>5580003</v>
      </c>
      <c r="I21" s="4">
        <f t="shared" si="0"/>
        <v>2.0136186252210755</v>
      </c>
    </row>
    <row r="22" spans="1:9" x14ac:dyDescent="0.25">
      <c r="A22" s="4">
        <v>575770</v>
      </c>
      <c r="B22" s="4">
        <v>5416779</v>
      </c>
      <c r="C22" s="4">
        <v>15557689</v>
      </c>
      <c r="D22" s="4">
        <v>5316779</v>
      </c>
      <c r="E22" s="4">
        <v>406955</v>
      </c>
      <c r="F22" s="4">
        <v>14981919</v>
      </c>
      <c r="G22" s="4">
        <v>5874074</v>
      </c>
      <c r="I22" s="4">
        <f t="shared" si="0"/>
        <v>2.0531032620885483</v>
      </c>
    </row>
  </sheetData>
  <mergeCells count="1">
    <mergeCell ref="A1:G1"/>
  </mergeCells>
  <conditionalFormatting sqref="I2:I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2EB6E-CBBE-493B-A2F9-7F0A6A748A07}">
  <sheetPr codeName="Feuil6"/>
  <dimension ref="A1:E22"/>
  <sheetViews>
    <sheetView zoomScaleNormal="100" workbookViewId="0">
      <selection activeCell="H10" sqref="H10"/>
    </sheetView>
  </sheetViews>
  <sheetFormatPr baseColWidth="10" defaultRowHeight="15" x14ac:dyDescent="0.25"/>
  <cols>
    <col min="1" max="1" width="13.28515625" bestFit="1" customWidth="1"/>
    <col min="2" max="3" width="14" bestFit="1" customWidth="1"/>
    <col min="4" max="5" width="13.28515625" bestFit="1" customWidth="1"/>
  </cols>
  <sheetData>
    <row r="1" spans="1:5" s="5" customFormat="1" ht="18.75" x14ac:dyDescent="0.3">
      <c r="A1" s="19" t="s">
        <v>17</v>
      </c>
      <c r="B1" s="20"/>
      <c r="C1" s="20"/>
      <c r="D1" s="20"/>
      <c r="E1" s="20"/>
    </row>
    <row r="2" spans="1:5" s="2" customFormat="1" x14ac:dyDescent="0.25">
      <c r="A2" s="3" t="s">
        <v>11</v>
      </c>
      <c r="B2" s="3" t="s">
        <v>7</v>
      </c>
      <c r="C2" s="3" t="s">
        <v>8</v>
      </c>
      <c r="D2" s="3" t="s">
        <v>9</v>
      </c>
      <c r="E2" s="3" t="s">
        <v>10</v>
      </c>
    </row>
    <row r="3" spans="1:5" x14ac:dyDescent="0.25">
      <c r="A3" s="4">
        <f>Score_Altman(A!A3,A!B3,A!C3,A!D3,A!E3,A!F3,A!G3)</f>
        <v>3.7256642361207688</v>
      </c>
      <c r="B3" s="4">
        <f>Score_Altman(B!A3,B!B3,B!C3,B!D3,B!E3,B!F3,B!G3)</f>
        <v>2.4137013045098472</v>
      </c>
      <c r="C3" s="4">
        <f>Score_Altman('C'!A3,'C'!B3,'C'!C3,'C'!D3,'C'!E3,'C'!F3,'C'!G3)</f>
        <v>2.9483925803838336</v>
      </c>
      <c r="D3" s="4">
        <f>Score_Altman(D!A3,D!B3,D!C3,D!D3,D!E3,D!F3,D!G3)</f>
        <v>4.1739169840517194</v>
      </c>
      <c r="E3" s="4">
        <f>Score_Altman(E!A3,E!B3,E!C3,E!D3,E!E3,E!F3,E!G3)</f>
        <v>1.9832099234295399</v>
      </c>
    </row>
    <row r="4" spans="1:5" x14ac:dyDescent="0.25">
      <c r="A4" s="4">
        <f>Score_Altman(A!A4,A!B4,A!C4,A!D4,A!E4,A!F4,A!G4)</f>
        <v>2.022815501124966</v>
      </c>
      <c r="B4" s="4">
        <f>Score_Altman(B!A4,B!B4,B!C4,B!D4,B!E4,B!F4,B!G4)</f>
        <v>2.8205031348194871</v>
      </c>
      <c r="C4" s="4">
        <f>Score_Altman('C'!A4,'C'!B4,'C'!C4,'C'!D4,'C'!E4,'C'!F4,'C'!G4)</f>
        <v>2.7667081584741609</v>
      </c>
      <c r="D4" s="4">
        <f>Score_Altman(D!A4,D!B4,D!C4,D!D4,D!E4,D!F4,D!G4)</f>
        <v>2.0759504603947008</v>
      </c>
      <c r="E4" s="4">
        <f>Score_Altman(E!A4,E!B4,E!C4,E!D4,E!E4,E!F4,E!G4)</f>
        <v>1.8710779651298028</v>
      </c>
    </row>
    <row r="5" spans="1:5" x14ac:dyDescent="0.25">
      <c r="A5" s="4">
        <f>Score_Altman(A!A5,A!B5,A!C5,A!D5,A!E5,A!F5,A!G5)</f>
        <v>1.0524954658230352</v>
      </c>
      <c r="B5" s="4">
        <f>Score_Altman(B!A5,B!B5,B!C5,B!D5,B!E5,B!F5,B!G5)</f>
        <v>3.5652231974642525</v>
      </c>
      <c r="C5" s="4">
        <f>Score_Altman('C'!A5,'C'!B5,'C'!C5,'C'!D5,'C'!E5,'C'!F5,'C'!G5)</f>
        <v>1.4511764041326058</v>
      </c>
      <c r="D5" s="4">
        <f>Score_Altman(D!A5,D!B5,D!C5,D!D5,D!E5,D!F5,D!G5)</f>
        <v>2.0626346260137094</v>
      </c>
      <c r="E5" s="4">
        <f>Score_Altman(E!A5,E!B5,E!C5,E!D5,E!E5,E!F5,E!G5)</f>
        <v>2.3830842793352702</v>
      </c>
    </row>
    <row r="6" spans="1:5" x14ac:dyDescent="0.25">
      <c r="A6" s="4">
        <f>Score_Altman(A!A6,A!B6,A!C6,A!D6,A!E6,A!F6,A!G6)</f>
        <v>5.4192872754814472</v>
      </c>
      <c r="B6" s="4">
        <f>Score_Altman(B!A6,B!B6,B!C6,B!D6,B!E6,B!F6,B!G6)</f>
        <v>-0.36182077860307349</v>
      </c>
      <c r="C6" s="4">
        <f>Score_Altman('C'!A6,'C'!B6,'C'!C6,'C'!D6,'C'!E6,'C'!F6,'C'!G6)</f>
        <v>2.9527612432662238</v>
      </c>
      <c r="D6" s="4">
        <f>Score_Altman(D!A6,D!B6,D!C6,D!D6,D!E6,D!F6,D!G6)</f>
        <v>1.8341424759024119</v>
      </c>
      <c r="E6" s="4">
        <f>Score_Altman(E!A6,E!B6,E!C6,E!D6,E!E6,E!F6,E!G6)</f>
        <v>1.9260387490340214</v>
      </c>
    </row>
    <row r="7" spans="1:5" x14ac:dyDescent="0.25">
      <c r="A7" s="4">
        <f>Score_Altman(A!A7,A!B7,A!C7,A!D7,A!E7,A!F7,A!G7)</f>
        <v>3.4672294700908632</v>
      </c>
      <c r="B7" s="4">
        <f>Score_Altman(B!A7,B!B7,B!C7,B!D7,B!E7,B!F7,B!G7)</f>
        <v>0.27851368457977776</v>
      </c>
      <c r="C7" s="4">
        <f>Score_Altman('C'!A7,'C'!B7,'C'!C7,'C'!D7,'C'!E7,'C'!F7,'C'!G7)</f>
        <v>3.6642277796275926</v>
      </c>
      <c r="D7" s="4">
        <f>Score_Altman(D!A7,D!B7,D!C7,D!D7,D!E7,D!F7,D!G7)</f>
        <v>2.3077932495717843</v>
      </c>
      <c r="E7" s="4">
        <f>Score_Altman(E!A7,E!B7,E!C7,E!D7,E!E7,E!F7,E!G7)</f>
        <v>3.0554436905480218</v>
      </c>
    </row>
    <row r="8" spans="1:5" x14ac:dyDescent="0.25">
      <c r="A8" s="4">
        <f>Score_Altman(A!A8,A!B8,A!C8,A!D8,A!E8,A!F8,A!G8)</f>
        <v>2.4969500217324478</v>
      </c>
      <c r="B8" s="4">
        <f>Score_Altman(B!A8,B!B8,B!C8,B!D8,B!E8,B!F8,B!G8)</f>
        <v>2.8743009417861618</v>
      </c>
      <c r="C8" s="4">
        <f>Score_Altman('C'!A8,'C'!B8,'C'!C8,'C'!D8,'C'!E8,'C'!F8,'C'!G8)</f>
        <v>3.6008047670124168</v>
      </c>
      <c r="D8" s="4">
        <f>Score_Altman(D!A8,D!B8,D!C8,D!D8,D!E8,D!F8,D!G8)</f>
        <v>1.5192087168496207</v>
      </c>
      <c r="E8" s="4">
        <f>Score_Altman(E!A8,E!B8,E!C8,E!D8,E!E8,E!F8,E!G8)</f>
        <v>4.7247464392476637</v>
      </c>
    </row>
    <row r="9" spans="1:5" x14ac:dyDescent="0.25">
      <c r="A9" s="4">
        <f>Score_Altman(A!A9,A!B9,A!C9,A!D9,A!E9,A!F9,A!G9)</f>
        <v>2.5531636791847845</v>
      </c>
      <c r="B9" s="4">
        <f>Score_Altman(B!A9,B!B9,B!C9,B!D9,B!E9,B!F9,B!G9)</f>
        <v>4.3861017546052752</v>
      </c>
      <c r="C9" s="4">
        <f>Score_Altman('C'!A9,'C'!B9,'C'!C9,'C'!D9,'C'!E9,'C'!F9,'C'!G9)</f>
        <v>1.2714110296843359</v>
      </c>
      <c r="D9" s="4">
        <f>Score_Altman(D!A9,D!B9,D!C9,D!D9,D!E9,D!F9,D!G9)</f>
        <v>4.7233610434768831</v>
      </c>
      <c r="E9" s="4">
        <f>Score_Altman(E!A9,E!B9,E!C9,E!D9,E!E9,E!F9,E!G9)</f>
        <v>0.95832447319648262</v>
      </c>
    </row>
    <row r="10" spans="1:5" x14ac:dyDescent="0.25">
      <c r="A10" s="4">
        <f>Score_Altman(A!A10,A!B10,A!C10,A!D10,A!E10,A!F10,A!G10)</f>
        <v>1.352026321079477</v>
      </c>
      <c r="B10" s="4">
        <f>Score_Altman(B!A10,B!B10,B!C10,B!D10,B!E10,B!F10,B!G10)</f>
        <v>3.0959086029659648</v>
      </c>
      <c r="C10" s="4">
        <f>Score_Altman('C'!A10,'C'!B10,'C'!C10,'C'!D10,'C'!E10,'C'!F10,'C'!G10)</f>
        <v>4.1120273768929883</v>
      </c>
      <c r="D10" s="4">
        <f>Score_Altman(D!A10,D!B10,D!C10,D!D10,D!E10,D!F10,D!G10)</f>
        <v>0.32120544608455637</v>
      </c>
      <c r="E10" s="4">
        <f>Score_Altman(E!A10,E!B10,E!C10,E!D10,E!E10,E!F10,E!G10)</f>
        <v>2.1409314298837483</v>
      </c>
    </row>
    <row r="11" spans="1:5" x14ac:dyDescent="0.25">
      <c r="A11" s="4">
        <f>Score_Altman(A!A11,A!B11,A!C11,A!D11,A!E11,A!F11,A!G11)</f>
        <v>1.9715535376170539</v>
      </c>
      <c r="B11" s="4">
        <f>Score_Altman(B!A11,B!B11,B!C11,B!D11,B!E11,B!F11,B!G11)</f>
        <v>4.418001500985012</v>
      </c>
      <c r="C11" s="4">
        <f>Score_Altman('C'!A11,'C'!B11,'C'!C11,'C'!D11,'C'!E11,'C'!F11,'C'!G11)</f>
        <v>1.9469759974911802</v>
      </c>
      <c r="D11" s="4">
        <f>Score_Altman(D!A11,D!B11,D!C11,D!D11,D!E11,D!F11,D!G11)</f>
        <v>3.4297470434034913</v>
      </c>
      <c r="E11" s="4">
        <f>Score_Altman(E!A11,E!B11,E!C11,E!D11,E!E11,E!F11,E!G11)</f>
        <v>3.6481288120937547</v>
      </c>
    </row>
    <row r="12" spans="1:5" x14ac:dyDescent="0.25">
      <c r="A12" s="4">
        <f>Score_Altman(A!A12,A!B12,A!C12,A!D12,A!E12,A!F12,A!G12)</f>
        <v>4.1230445131669917</v>
      </c>
      <c r="B12" s="4">
        <f>Score_Altman(B!A12,B!B12,B!C12,B!D12,B!E12,B!F12,B!G12)</f>
        <v>2.1980203757624532</v>
      </c>
      <c r="C12" s="4">
        <f>Score_Altman('C'!A12,'C'!B12,'C'!C12,'C'!D12,'C'!E12,'C'!F12,'C'!G12)</f>
        <v>1.811143808876218</v>
      </c>
      <c r="D12" s="4">
        <f>Score_Altman(D!A12,D!B12,D!C12,D!D12,D!E12,D!F12,D!G12)</f>
        <v>2.8166187203413471</v>
      </c>
      <c r="E12" s="4">
        <f>Score_Altman(E!A12,E!B12,E!C12,E!D12,E!E12,E!F12,E!G12)</f>
        <v>1.3651109221808679</v>
      </c>
    </row>
    <row r="13" spans="1:5" x14ac:dyDescent="0.25">
      <c r="A13" s="4">
        <f>Score_Altman(A!A13,A!B13,A!C13,A!D13,A!E13,A!F13,A!G13)</f>
        <v>0.68745299725557452</v>
      </c>
      <c r="B13" s="4">
        <f>Score_Altman(B!A13,B!B13,B!C13,B!D13,B!E13,B!F13,B!G13)</f>
        <v>3.1656269028799993</v>
      </c>
      <c r="C13" s="4">
        <f>Score_Altman('C'!A13,'C'!B13,'C'!C13,'C'!D13,'C'!E13,'C'!F13,'C'!G13)</f>
        <v>2.334715547893206</v>
      </c>
      <c r="D13" s="4">
        <f>Score_Altman(D!A13,D!B13,D!C13,D!D13,D!E13,D!F13,D!G13)</f>
        <v>3.2431462536363722</v>
      </c>
      <c r="E13" s="4">
        <f>Score_Altman(E!A13,E!B13,E!C13,E!D13,E!E13,E!F13,E!G13)</f>
        <v>4.3085418899048795</v>
      </c>
    </row>
    <row r="14" spans="1:5" x14ac:dyDescent="0.25">
      <c r="A14" s="4">
        <f>Score_Altman(A!A14,A!B14,A!C14,A!D14,A!E14,A!F14,A!G14)</f>
        <v>1.7693205778630283</v>
      </c>
      <c r="B14" s="4">
        <f>Score_Altman(B!A14,B!B14,B!C14,B!D14,B!E14,B!F14,B!G14)</f>
        <v>4.7870490150188196</v>
      </c>
      <c r="C14" s="4">
        <f>Score_Altman('C'!A14,'C'!B14,'C'!C14,'C'!D14,'C'!E14,'C'!F14,'C'!G14)</f>
        <v>1.0297422458274885</v>
      </c>
      <c r="D14" s="4">
        <f>Score_Altman(D!A14,D!B14,D!C14,D!D14,D!E14,D!F14,D!G14)</f>
        <v>0.52165808653695744</v>
      </c>
      <c r="E14" s="4">
        <f>Score_Altman(E!A14,E!B14,E!C14,E!D14,E!E14,E!F14,E!G14)</f>
        <v>2.1049708039981683</v>
      </c>
    </row>
    <row r="15" spans="1:5" x14ac:dyDescent="0.25">
      <c r="A15" s="4">
        <f>Score_Altman(A!A15,A!B15,A!C15,A!D15,A!E15,A!F15,A!G15)</f>
        <v>1.1813897705145358</v>
      </c>
      <c r="B15" s="4">
        <f>Score_Altman(B!A15,B!B15,B!C15,B!D15,B!E15,B!F15,B!G15)</f>
        <v>1.779422605881855</v>
      </c>
      <c r="C15" s="4">
        <f>Score_Altman('C'!A15,'C'!B15,'C'!C15,'C'!D15,'C'!E15,'C'!F15,'C'!G15)</f>
        <v>4.1155364104236849</v>
      </c>
      <c r="D15" s="4">
        <f>Score_Altman(D!A15,D!B15,D!C15,D!D15,D!E15,D!F15,D!G15)</f>
        <v>2.2176795695351146</v>
      </c>
      <c r="E15" s="4">
        <f>Score_Altman(E!A15,E!B15,E!C15,E!D15,E!E15,E!F15,E!G15)</f>
        <v>0.28634782144339632</v>
      </c>
    </row>
    <row r="16" spans="1:5" x14ac:dyDescent="0.25">
      <c r="A16" s="4">
        <f>Score_Altman(A!A16,A!B16,A!C16,A!D16,A!E16,A!F16,A!G16)</f>
        <v>0.67225230100045819</v>
      </c>
      <c r="B16" s="4">
        <f>Score_Altman(B!A16,B!B16,B!C16,B!D16,B!E16,B!F16,B!G16)</f>
        <v>2.1461522138097835</v>
      </c>
      <c r="C16" s="4">
        <f>Score_Altman('C'!A16,'C'!B16,'C'!C16,'C'!D16,'C'!E16,'C'!F16,'C'!G16)</f>
        <v>2.4772210286075791</v>
      </c>
      <c r="D16" s="4">
        <f>Score_Altman(D!A16,D!B16,D!C16,D!D16,D!E16,D!F16,D!G16)</f>
        <v>1.643455818294256</v>
      </c>
      <c r="E16" s="4">
        <f>Score_Altman(E!A16,E!B16,E!C16,E!D16,E!E16,E!F16,E!G16)</f>
        <v>4.4920772736349264</v>
      </c>
    </row>
    <row r="17" spans="1:5" x14ac:dyDescent="0.25">
      <c r="A17" s="4">
        <f>Score_Altman(A!A17,A!B17,A!C17,A!D17,A!E17,A!F17,A!G17)</f>
        <v>2.7409627818064171</v>
      </c>
      <c r="B17" s="4">
        <f>Score_Altman(B!A17,B!B17,B!C17,B!D17,B!E17,B!F17,B!G17)</f>
        <v>3.6417554704447808</v>
      </c>
      <c r="C17" s="4">
        <f>Score_Altman('C'!A17,'C'!B17,'C'!C17,'C'!D17,'C'!E17,'C'!F17,'C'!G17)</f>
        <v>3.2721716221007062</v>
      </c>
      <c r="D17" s="4">
        <f>Score_Altman(D!A17,D!B17,D!C17,D!D17,D!E17,D!F17,D!G17)</f>
        <v>3.9256741578419745</v>
      </c>
      <c r="E17" s="4">
        <f>Score_Altman(E!A17,E!B17,E!C17,E!D17,E!E17,E!F17,E!G17)</f>
        <v>2.9552920128472153</v>
      </c>
    </row>
    <row r="18" spans="1:5" x14ac:dyDescent="0.25">
      <c r="A18" s="4">
        <f>Score_Altman(A!A18,A!B18,A!C18,A!D18,A!E18,A!F18,A!G18)</f>
        <v>2.9628114092384465</v>
      </c>
      <c r="B18" s="4">
        <f>Score_Altman(B!A18,B!B18,B!C18,B!D18,B!E18,B!F18,B!G18)</f>
        <v>0.92058455878652834</v>
      </c>
      <c r="C18" s="4">
        <f>Score_Altman('C'!A18,'C'!B18,'C'!C18,'C'!D18,'C'!E18,'C'!F18,'C'!G18)</f>
        <v>-0.84737226072129035</v>
      </c>
      <c r="D18" s="4">
        <f>Score_Altman(D!A18,D!B18,D!C18,D!D18,D!E18,D!F18,D!G18)</f>
        <v>5.4616179321218636</v>
      </c>
      <c r="E18" s="4">
        <f>Score_Altman(E!A18,E!B18,E!C18,E!D18,E!E18,E!F18,E!G18)</f>
        <v>3.0442208794755539</v>
      </c>
    </row>
    <row r="19" spans="1:5" x14ac:dyDescent="0.25">
      <c r="A19" s="4">
        <f>Score_Altman(A!A19,A!B19,A!C19,A!D19,A!E19,A!F19,A!G19)</f>
        <v>3.5286206172189392</v>
      </c>
      <c r="B19" s="4">
        <f>Score_Altman(B!A19,B!B19,B!C19,B!D19,B!E19,B!F19,B!G19)</f>
        <v>2.7479305292058758</v>
      </c>
      <c r="C19" s="4">
        <f>Score_Altman('C'!A19,'C'!B19,'C'!C19,'C'!D19,'C'!E19,'C'!F19,'C'!G19)</f>
        <v>5.2657809269204519</v>
      </c>
      <c r="D19" s="4">
        <f>Score_Altman(D!A19,D!B19,D!C19,D!D19,D!E19,D!F19,D!G19)</f>
        <v>3.2767208417929541</v>
      </c>
      <c r="E19" s="4">
        <f>Score_Altman(E!A19,E!B19,E!C19,E!D19,E!E19,E!F19,E!G19)</f>
        <v>1.1484423052098423</v>
      </c>
    </row>
    <row r="20" spans="1:5" x14ac:dyDescent="0.25">
      <c r="A20" s="4">
        <f>Score_Altman(A!A20,A!B20,A!C20,A!D20,A!E20,A!F20,A!G20)</f>
        <v>1.9019956661183672</v>
      </c>
      <c r="B20" s="4">
        <f>Score_Altman(B!A20,B!B20,B!C20,B!D20,B!E20,B!F20,B!G20)</f>
        <v>1.0453682153318928</v>
      </c>
      <c r="C20" s="4">
        <f>Score_Altman('C'!A20,'C'!B20,'C'!C20,'C'!D20,'C'!E20,'C'!F20,'C'!G20)</f>
        <v>3.4142665350455639</v>
      </c>
      <c r="D20" s="4">
        <f>Score_Altman(D!A20,D!B20,D!C20,D!D20,D!E20,D!F20,D!G20)</f>
        <v>1.4487523689651362E-2</v>
      </c>
      <c r="E20" s="4">
        <f>Score_Altman(E!A20,E!B20,E!C20,E!D20,E!E20,E!F20,E!G20)</f>
        <v>1.8822647010704068</v>
      </c>
    </row>
    <row r="21" spans="1:5" x14ac:dyDescent="0.25">
      <c r="A21" s="4">
        <f>Score_Altman(A!A21,A!B21,A!C21,A!D21,A!E21,A!F21,A!G21)</f>
        <v>3.1514402150388876</v>
      </c>
      <c r="B21" s="4">
        <f>Score_Altman(B!A21,B!B21,B!C21,B!D21,B!E21,B!F21,B!G21)</f>
        <v>4.5444856009559746</v>
      </c>
      <c r="C21" s="4">
        <f>Score_Altman('C'!A21,'C'!B21,'C'!C21,'C'!D21,'C'!E21,'C'!F21,'C'!G21)</f>
        <v>1.4701666042188455</v>
      </c>
      <c r="D21" s="4">
        <f>Score_Altman(D!A21,D!B21,D!C21,D!D21,D!E21,D!F21,D!G21)</f>
        <v>4.8117166849142325</v>
      </c>
      <c r="E21" s="4">
        <f>Score_Altman(E!A21,E!B21,E!C21,E!D21,E!E21,E!F21,E!G21)</f>
        <v>2.0136186252210755</v>
      </c>
    </row>
    <row r="22" spans="1:5" x14ac:dyDescent="0.25">
      <c r="A22" s="4">
        <f>Score_Altman(A!A22,A!B22,A!C22,A!D22,A!E22,A!F22,A!G22)</f>
        <v>0.45246067042608756</v>
      </c>
      <c r="B22" s="4">
        <f>Score_Altman(B!A22,B!B22,B!C22,B!D22,B!E22,B!F22,B!G22)</f>
        <v>2.5016483353282704</v>
      </c>
      <c r="C22" s="4">
        <f>Score_Altman('C'!A22,'C'!B22,'C'!C22,'C'!D22,'C'!E22,'C'!F22,'C'!G22)</f>
        <v>3.3947584178554155</v>
      </c>
      <c r="D22" s="4">
        <f>Score_Altman(D!A22,D!B22,D!C22,D!D22,D!E22,D!F22,D!G22)</f>
        <v>0.47210265997456147</v>
      </c>
      <c r="E22" s="4">
        <f>Score_Altman(E!A22,E!B22,E!C22,E!D22,E!E22,E!F22,E!G22)</f>
        <v>2.0531032620885483</v>
      </c>
    </row>
  </sheetData>
  <mergeCells count="1">
    <mergeCell ref="A1:E1"/>
  </mergeCells>
  <conditionalFormatting sqref="A2:E22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num" val="1.81"/>
        <cfvo type="percentile" val="50"/>
        <cfvo type="num" val="2.9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103A1-E78C-4FA2-AF46-504741136A40}">
  <sheetPr codeName="Feuil7"/>
  <dimension ref="A1:J22"/>
  <sheetViews>
    <sheetView showGridLines="0" workbookViewId="0">
      <selection activeCell="L5" sqref="L5"/>
    </sheetView>
  </sheetViews>
  <sheetFormatPr baseColWidth="10" defaultRowHeight="15" x14ac:dyDescent="0.25"/>
  <cols>
    <col min="8" max="8" width="19" customWidth="1"/>
    <col min="9" max="9" width="21.85546875" customWidth="1"/>
    <col min="10" max="10" width="18" customWidth="1"/>
  </cols>
  <sheetData>
    <row r="1" spans="1:10" ht="18.75" x14ac:dyDescent="0.3">
      <c r="H1" s="21" t="s">
        <v>18</v>
      </c>
      <c r="I1" s="21"/>
      <c r="J1" s="21"/>
    </row>
    <row r="2" spans="1:10" x14ac:dyDescent="0.25">
      <c r="A2" s="14" t="s">
        <v>11</v>
      </c>
      <c r="B2" s="14" t="s">
        <v>7</v>
      </c>
      <c r="C2" s="14" t="s">
        <v>8</v>
      </c>
      <c r="D2" s="14" t="s">
        <v>9</v>
      </c>
      <c r="E2" s="14" t="s">
        <v>10</v>
      </c>
      <c r="H2" s="14" t="s">
        <v>19</v>
      </c>
      <c r="I2" s="14" t="s">
        <v>20</v>
      </c>
      <c r="J2" s="14" t="s">
        <v>30</v>
      </c>
    </row>
    <row r="3" spans="1:10" x14ac:dyDescent="0.25">
      <c r="A3" s="4">
        <f>Score_Altman(A!A3,A!B3,A!C3,A!D3,A!E3,A!F3,A!G3)</f>
        <v>3.7256642361207688</v>
      </c>
      <c r="B3" s="4">
        <f>Score_Altman(B!A3,B!B3,B!C3,B!D3,B!E3,B!F3,B!G3)</f>
        <v>2.4137013045098472</v>
      </c>
      <c r="C3" s="4">
        <f>Score_Altman('C'!A3,'C'!B3,'C'!C3,'C'!D3,'C'!E3,'C'!F3,'C'!G3)</f>
        <v>2.9483925803838336</v>
      </c>
      <c r="D3" s="4">
        <f>Score_Altman(D!A3,D!B3,D!C3,D!D3,D!E3,D!F3,D!G3)</f>
        <v>4.1739169840517194</v>
      </c>
      <c r="E3" s="4">
        <f>Score_Altman(E!A3,E!B3,E!C3,E!D3,E!E3,E!F3,E!G3)</f>
        <v>1.9832099234295399</v>
      </c>
      <c r="H3" s="4">
        <f>COUNTIF(A3:E22,"&gt;=2.99")</f>
        <v>36</v>
      </c>
      <c r="I3" s="4">
        <f>COUNTIF(A3:E22,"&lt;1.81")</f>
        <v>27</v>
      </c>
      <c r="J3" s="4">
        <v>37</v>
      </c>
    </row>
    <row r="4" spans="1:10" x14ac:dyDescent="0.25">
      <c r="A4" s="4">
        <f>Score_Altman(A!A4,A!B4,A!C4,A!D4,A!E4,A!F4,A!G4)</f>
        <v>2.022815501124966</v>
      </c>
      <c r="B4" s="4">
        <f>Score_Altman(B!A4,B!B4,B!C4,B!D4,B!E4,B!F4,B!G4)</f>
        <v>2.8205031348194871</v>
      </c>
      <c r="C4" s="4">
        <f>Score_Altman('C'!A4,'C'!B4,'C'!C4,'C'!D4,'C'!E4,'C'!F4,'C'!G4)</f>
        <v>2.7667081584741609</v>
      </c>
      <c r="D4" s="4">
        <f>Score_Altman(D!A4,D!B4,D!C4,D!D4,D!E4,D!F4,D!G4)</f>
        <v>2.0759504603947008</v>
      </c>
      <c r="E4" s="4">
        <f>Score_Altman(E!A4,E!B4,E!C4,E!D4,E!E4,E!F4,E!G4)</f>
        <v>1.8710779651298028</v>
      </c>
    </row>
    <row r="5" spans="1:10" x14ac:dyDescent="0.25">
      <c r="A5" s="4">
        <f>Score_Altman(A!A5,A!B5,A!C5,A!D5,A!E5,A!F5,A!G5)</f>
        <v>1.0524954658230352</v>
      </c>
      <c r="B5" s="4">
        <f>Score_Altman(B!A5,B!B5,B!C5,B!D5,B!E5,B!F5,B!G5)</f>
        <v>3.5652231974642525</v>
      </c>
      <c r="C5" s="4">
        <f>Score_Altman('C'!A5,'C'!B5,'C'!C5,'C'!D5,'C'!E5,'C'!F5,'C'!G5)</f>
        <v>1.4511764041326058</v>
      </c>
      <c r="D5" s="4">
        <f>Score_Altman(D!A5,D!B5,D!C5,D!D5,D!E5,D!F5,D!G5)</f>
        <v>2.0626346260137094</v>
      </c>
      <c r="E5" s="4">
        <f>Score_Altman(E!A5,E!B5,E!C5,E!D5,E!E5,E!F5,E!G5)</f>
        <v>2.3830842793352702</v>
      </c>
    </row>
    <row r="6" spans="1:10" x14ac:dyDescent="0.25">
      <c r="A6" s="4">
        <f>Score_Altman(A!A6,A!B6,A!C6,A!D6,A!E6,A!F6,A!G6)</f>
        <v>5.4192872754814472</v>
      </c>
      <c r="B6" s="4">
        <f>Score_Altman(B!A6,B!B6,B!C6,B!D6,B!E6,B!F6,B!G6)</f>
        <v>-0.36182077860307349</v>
      </c>
      <c r="C6" s="4">
        <f>Score_Altman('C'!A6,'C'!B6,'C'!C6,'C'!D6,'C'!E6,'C'!F6,'C'!G6)</f>
        <v>2.9527612432662238</v>
      </c>
      <c r="D6" s="4">
        <f>Score_Altman(D!A6,D!B6,D!C6,D!D6,D!E6,D!F6,D!G6)</f>
        <v>1.8341424759024119</v>
      </c>
      <c r="E6" s="4">
        <f>Score_Altman(E!A6,E!B6,E!C6,E!D6,E!E6,E!F6,E!G6)</f>
        <v>1.9260387490340214</v>
      </c>
    </row>
    <row r="7" spans="1:10" x14ac:dyDescent="0.25">
      <c r="A7" s="4">
        <f>Score_Altman(A!A7,A!B7,A!C7,A!D7,A!E7,A!F7,A!G7)</f>
        <v>3.4672294700908632</v>
      </c>
      <c r="B7" s="4">
        <f>Score_Altman(B!A7,B!B7,B!C7,B!D7,B!E7,B!F7,B!G7)</f>
        <v>0.27851368457977776</v>
      </c>
      <c r="C7" s="4">
        <f>Score_Altman('C'!A7,'C'!B7,'C'!C7,'C'!D7,'C'!E7,'C'!F7,'C'!G7)</f>
        <v>3.6642277796275926</v>
      </c>
      <c r="D7" s="4">
        <f>Score_Altman(D!A7,D!B7,D!C7,D!D7,D!E7,D!F7,D!G7)</f>
        <v>2.3077932495717843</v>
      </c>
      <c r="E7" s="4">
        <f>Score_Altman(E!A7,E!B7,E!C7,E!D7,E!E7,E!F7,E!G7)</f>
        <v>3.0554436905480218</v>
      </c>
    </row>
    <row r="8" spans="1:10" x14ac:dyDescent="0.25">
      <c r="A8" s="4">
        <f>Score_Altman(A!A8,A!B8,A!C8,A!D8,A!E8,A!F8,A!G8)</f>
        <v>2.4969500217324478</v>
      </c>
      <c r="B8" s="4">
        <f>Score_Altman(B!A8,B!B8,B!C8,B!D8,B!E8,B!F8,B!G8)</f>
        <v>2.8743009417861618</v>
      </c>
      <c r="C8" s="4">
        <f>Score_Altman('C'!A8,'C'!B8,'C'!C8,'C'!D8,'C'!E8,'C'!F8,'C'!G8)</f>
        <v>3.6008047670124168</v>
      </c>
      <c r="D8" s="4">
        <f>Score_Altman(D!A8,D!B8,D!C8,D!D8,D!E8,D!F8,D!G8)</f>
        <v>1.5192087168496207</v>
      </c>
      <c r="E8" s="4">
        <f>Score_Altman(E!A8,E!B8,E!C8,E!D8,E!E8,E!F8,E!G8)</f>
        <v>4.7247464392476637</v>
      </c>
    </row>
    <row r="9" spans="1:10" x14ac:dyDescent="0.25">
      <c r="A9" s="4">
        <f>Score_Altman(A!A9,A!B9,A!C9,A!D9,A!E9,A!F9,A!G9)</f>
        <v>2.5531636791847845</v>
      </c>
      <c r="B9" s="4">
        <f>Score_Altman(B!A9,B!B9,B!C9,B!D9,B!E9,B!F9,B!G9)</f>
        <v>4.3861017546052752</v>
      </c>
      <c r="C9" s="4">
        <f>Score_Altman('C'!A9,'C'!B9,'C'!C9,'C'!D9,'C'!E9,'C'!F9,'C'!G9)</f>
        <v>1.2714110296843359</v>
      </c>
      <c r="D9" s="4">
        <f>Score_Altman(D!A9,D!B9,D!C9,D!D9,D!E9,D!F9,D!G9)</f>
        <v>4.7233610434768831</v>
      </c>
      <c r="E9" s="4">
        <f>Score_Altman(E!A9,E!B9,E!C9,E!D9,E!E9,E!F9,E!G9)</f>
        <v>0.95832447319648262</v>
      </c>
    </row>
    <row r="10" spans="1:10" x14ac:dyDescent="0.25">
      <c r="A10" s="4">
        <f>Score_Altman(A!A10,A!B10,A!C10,A!D10,A!E10,A!F10,A!G10)</f>
        <v>1.352026321079477</v>
      </c>
      <c r="B10" s="4">
        <f>Score_Altman(B!A10,B!B10,B!C10,B!D10,B!E10,B!F10,B!G10)</f>
        <v>3.0959086029659648</v>
      </c>
      <c r="C10" s="4">
        <f>Score_Altman('C'!A10,'C'!B10,'C'!C10,'C'!D10,'C'!E10,'C'!F10,'C'!G10)</f>
        <v>4.1120273768929883</v>
      </c>
      <c r="D10" s="4">
        <f>Score_Altman(D!A10,D!B10,D!C10,D!D10,D!E10,D!F10,D!G10)</f>
        <v>0.32120544608455637</v>
      </c>
      <c r="E10" s="4">
        <f>Score_Altman(E!A10,E!B10,E!C10,E!D10,E!E10,E!F10,E!G10)</f>
        <v>2.1409314298837483</v>
      </c>
    </row>
    <row r="11" spans="1:10" x14ac:dyDescent="0.25">
      <c r="A11" s="4">
        <f>Score_Altman(A!A11,A!B11,A!C11,A!D11,A!E11,A!F11,A!G11)</f>
        <v>1.9715535376170539</v>
      </c>
      <c r="B11" s="4">
        <f>Score_Altman(B!A11,B!B11,B!C11,B!D11,B!E11,B!F11,B!G11)</f>
        <v>4.418001500985012</v>
      </c>
      <c r="C11" s="4">
        <f>Score_Altman('C'!A11,'C'!B11,'C'!C11,'C'!D11,'C'!E11,'C'!F11,'C'!G11)</f>
        <v>1.9469759974911802</v>
      </c>
      <c r="D11" s="4">
        <f>Score_Altman(D!A11,D!B11,D!C11,D!D11,D!E11,D!F11,D!G11)</f>
        <v>3.4297470434034913</v>
      </c>
      <c r="E11" s="4">
        <f>Score_Altman(E!A11,E!B11,E!C11,E!D11,E!E11,E!F11,E!G11)</f>
        <v>3.6481288120937547</v>
      </c>
    </row>
    <row r="12" spans="1:10" x14ac:dyDescent="0.25">
      <c r="A12" s="4">
        <f>Score_Altman(A!A12,A!B12,A!C12,A!D12,A!E12,A!F12,A!G12)</f>
        <v>4.1230445131669917</v>
      </c>
      <c r="B12" s="4">
        <f>Score_Altman(B!A12,B!B12,B!C12,B!D12,B!E12,B!F12,B!G12)</f>
        <v>2.1980203757624532</v>
      </c>
      <c r="C12" s="4">
        <f>Score_Altman('C'!A12,'C'!B12,'C'!C12,'C'!D12,'C'!E12,'C'!F12,'C'!G12)</f>
        <v>1.811143808876218</v>
      </c>
      <c r="D12" s="4">
        <f>Score_Altman(D!A12,D!B12,D!C12,D!D12,D!E12,D!F12,D!G12)</f>
        <v>2.8166187203413471</v>
      </c>
      <c r="E12" s="4">
        <f>Score_Altman(E!A12,E!B12,E!C12,E!D12,E!E12,E!F12,E!G12)</f>
        <v>1.3651109221808679</v>
      </c>
    </row>
    <row r="13" spans="1:10" x14ac:dyDescent="0.25">
      <c r="A13" s="4">
        <f>Score_Altman(A!A13,A!B13,A!C13,A!D13,A!E13,A!F13,A!G13)</f>
        <v>0.68745299725557452</v>
      </c>
      <c r="B13" s="4">
        <f>Score_Altman(B!A13,B!B13,B!C13,B!D13,B!E13,B!F13,B!G13)</f>
        <v>3.1656269028799993</v>
      </c>
      <c r="C13" s="4">
        <f>Score_Altman('C'!A13,'C'!B13,'C'!C13,'C'!D13,'C'!E13,'C'!F13,'C'!G13)</f>
        <v>2.334715547893206</v>
      </c>
      <c r="D13" s="4">
        <f>Score_Altman(D!A13,D!B13,D!C13,D!D13,D!E13,D!F13,D!G13)</f>
        <v>3.2431462536363722</v>
      </c>
      <c r="E13" s="4">
        <f>Score_Altman(E!A13,E!B13,E!C13,E!D13,E!E13,E!F13,E!G13)</f>
        <v>4.3085418899048795</v>
      </c>
    </row>
    <row r="14" spans="1:10" x14ac:dyDescent="0.25">
      <c r="A14" s="4">
        <f>Score_Altman(A!A14,A!B14,A!C14,A!D14,A!E14,A!F14,A!G14)</f>
        <v>1.7693205778630283</v>
      </c>
      <c r="B14" s="4">
        <f>Score_Altman(B!A14,B!B14,B!C14,B!D14,B!E14,B!F14,B!G14)</f>
        <v>4.7870490150188196</v>
      </c>
      <c r="C14" s="4">
        <f>Score_Altman('C'!A14,'C'!B14,'C'!C14,'C'!D14,'C'!E14,'C'!F14,'C'!G14)</f>
        <v>1.0297422458274885</v>
      </c>
      <c r="D14" s="4">
        <f>Score_Altman(D!A14,D!B14,D!C14,D!D14,D!E14,D!F14,D!G14)</f>
        <v>0.52165808653695744</v>
      </c>
      <c r="E14" s="4">
        <f>Score_Altman(E!A14,E!B14,E!C14,E!D14,E!E14,E!F14,E!G14)</f>
        <v>2.1049708039981683</v>
      </c>
    </row>
    <row r="15" spans="1:10" x14ac:dyDescent="0.25">
      <c r="A15" s="4">
        <f>Score_Altman(A!A15,A!B15,A!C15,A!D15,A!E15,A!F15,A!G15)</f>
        <v>1.1813897705145358</v>
      </c>
      <c r="B15" s="4">
        <f>Score_Altman(B!A15,B!B15,B!C15,B!D15,B!E15,B!F15,B!G15)</f>
        <v>1.779422605881855</v>
      </c>
      <c r="C15" s="4">
        <f>Score_Altman('C'!A15,'C'!B15,'C'!C15,'C'!D15,'C'!E15,'C'!F15,'C'!G15)</f>
        <v>4.1155364104236849</v>
      </c>
      <c r="D15" s="4">
        <f>Score_Altman(D!A15,D!B15,D!C15,D!D15,D!E15,D!F15,D!G15)</f>
        <v>2.2176795695351146</v>
      </c>
      <c r="E15" s="4">
        <f>Score_Altman(E!A15,E!B15,E!C15,E!D15,E!E15,E!F15,E!G15)</f>
        <v>0.28634782144339632</v>
      </c>
    </row>
    <row r="16" spans="1:10" x14ac:dyDescent="0.25">
      <c r="A16" s="4">
        <f>Score_Altman(A!A16,A!B16,A!C16,A!D16,A!E16,A!F16,A!G16)</f>
        <v>0.67225230100045819</v>
      </c>
      <c r="B16" s="4">
        <f>Score_Altman(B!A16,B!B16,B!C16,B!D16,B!E16,B!F16,B!G16)</f>
        <v>2.1461522138097835</v>
      </c>
      <c r="C16" s="4">
        <f>Score_Altman('C'!A16,'C'!B16,'C'!C16,'C'!D16,'C'!E16,'C'!F16,'C'!G16)</f>
        <v>2.4772210286075791</v>
      </c>
      <c r="D16" s="4">
        <f>Score_Altman(D!A16,D!B16,D!C16,D!D16,D!E16,D!F16,D!G16)</f>
        <v>1.643455818294256</v>
      </c>
      <c r="E16" s="4">
        <f>Score_Altman(E!A16,E!B16,E!C16,E!D16,E!E16,E!F16,E!G16)</f>
        <v>4.4920772736349264</v>
      </c>
    </row>
    <row r="17" spans="1:5" x14ac:dyDescent="0.25">
      <c r="A17" s="4">
        <f>Score_Altman(A!A17,A!B17,A!C17,A!D17,A!E17,A!F17,A!G17)</f>
        <v>2.7409627818064171</v>
      </c>
      <c r="B17" s="4">
        <f>Score_Altman(B!A17,B!B17,B!C17,B!D17,B!E17,B!F17,B!G17)</f>
        <v>3.6417554704447808</v>
      </c>
      <c r="C17" s="4">
        <f>Score_Altman('C'!A17,'C'!B17,'C'!C17,'C'!D17,'C'!E17,'C'!F17,'C'!G17)</f>
        <v>3.2721716221007062</v>
      </c>
      <c r="D17" s="4">
        <f>Score_Altman(D!A17,D!B17,D!C17,D!D17,D!E17,D!F17,D!G17)</f>
        <v>3.9256741578419745</v>
      </c>
      <c r="E17" s="4">
        <f>Score_Altman(E!A17,E!B17,E!C17,E!D17,E!E17,E!F17,E!G17)</f>
        <v>2.9552920128472153</v>
      </c>
    </row>
    <row r="18" spans="1:5" x14ac:dyDescent="0.25">
      <c r="A18" s="4">
        <f>Score_Altman(A!A18,A!B18,A!C18,A!D18,A!E18,A!F18,A!G18)</f>
        <v>2.9628114092384465</v>
      </c>
      <c r="B18" s="4">
        <f>Score_Altman(B!A18,B!B18,B!C18,B!D18,B!E18,B!F18,B!G18)</f>
        <v>0.92058455878652834</v>
      </c>
      <c r="C18" s="4">
        <f>Score_Altman('C'!A18,'C'!B18,'C'!C18,'C'!D18,'C'!E18,'C'!F18,'C'!G18)</f>
        <v>-0.84737226072129035</v>
      </c>
      <c r="D18" s="4">
        <f>Score_Altman(D!A18,D!B18,D!C18,D!D18,D!E18,D!F18,D!G18)</f>
        <v>5.4616179321218636</v>
      </c>
      <c r="E18" s="4">
        <f>Score_Altman(E!A18,E!B18,E!C18,E!D18,E!E18,E!F18,E!G18)</f>
        <v>3.0442208794755539</v>
      </c>
    </row>
    <row r="19" spans="1:5" x14ac:dyDescent="0.25">
      <c r="A19" s="4">
        <f>Score_Altman(A!A19,A!B19,A!C19,A!D19,A!E19,A!F19,A!G19)</f>
        <v>3.5286206172189392</v>
      </c>
      <c r="B19" s="4">
        <f>Score_Altman(B!A19,B!B19,B!C19,B!D19,B!E19,B!F19,B!G19)</f>
        <v>2.7479305292058758</v>
      </c>
      <c r="C19" s="4">
        <f>Score_Altman('C'!A19,'C'!B19,'C'!C19,'C'!D19,'C'!E19,'C'!F19,'C'!G19)</f>
        <v>5.2657809269204519</v>
      </c>
      <c r="D19" s="4">
        <f>Score_Altman(D!A19,D!B19,D!C19,D!D19,D!E19,D!F19,D!G19)</f>
        <v>3.2767208417929541</v>
      </c>
      <c r="E19" s="4">
        <f>Score_Altman(E!A19,E!B19,E!C19,E!D19,E!E19,E!F19,E!G19)</f>
        <v>1.1484423052098423</v>
      </c>
    </row>
    <row r="20" spans="1:5" x14ac:dyDescent="0.25">
      <c r="A20" s="4">
        <f>Score_Altman(A!A20,A!B20,A!C20,A!D20,A!E20,A!F20,A!G20)</f>
        <v>1.9019956661183672</v>
      </c>
      <c r="B20" s="4">
        <f>Score_Altman(B!A20,B!B20,B!C20,B!D20,B!E20,B!F20,B!G20)</f>
        <v>1.0453682153318928</v>
      </c>
      <c r="C20" s="4">
        <f>Score_Altman('C'!A20,'C'!B20,'C'!C20,'C'!D20,'C'!E20,'C'!F20,'C'!G20)</f>
        <v>3.4142665350455639</v>
      </c>
      <c r="D20" s="4">
        <f>Score_Altman(D!A20,D!B20,D!C20,D!D20,D!E20,D!F20,D!G20)</f>
        <v>1.4487523689651362E-2</v>
      </c>
      <c r="E20" s="4">
        <f>Score_Altman(E!A20,E!B20,E!C20,E!D20,E!E20,E!F20,E!G20)</f>
        <v>1.8822647010704068</v>
      </c>
    </row>
    <row r="21" spans="1:5" x14ac:dyDescent="0.25">
      <c r="A21" s="4">
        <f>Score_Altman(A!A21,A!B21,A!C21,A!D21,A!E21,A!F21,A!G21)</f>
        <v>3.1514402150388876</v>
      </c>
      <c r="B21" s="4">
        <f>Score_Altman(B!A21,B!B21,B!C21,B!D21,B!E21,B!F21,B!G21)</f>
        <v>4.5444856009559746</v>
      </c>
      <c r="C21" s="4">
        <f>Score_Altman('C'!A21,'C'!B21,'C'!C21,'C'!D21,'C'!E21,'C'!F21,'C'!G21)</f>
        <v>1.4701666042188455</v>
      </c>
      <c r="D21" s="4">
        <f>Score_Altman(D!A21,D!B21,D!C21,D!D21,D!E21,D!F21,D!G21)</f>
        <v>4.8117166849142325</v>
      </c>
      <c r="E21" s="4">
        <f>Score_Altman(E!A21,E!B21,E!C21,E!D21,E!E21,E!F21,E!G21)</f>
        <v>2.0136186252210755</v>
      </c>
    </row>
    <row r="22" spans="1:5" x14ac:dyDescent="0.25">
      <c r="A22" s="4">
        <f>Score_Altman(A!A22,A!B22,A!C22,A!D22,A!E22,A!F22,A!G22)</f>
        <v>0.45246067042608756</v>
      </c>
      <c r="B22" s="4">
        <f>Score_Altman(B!A22,B!B22,B!C22,B!D22,B!E22,B!F22,B!G22)</f>
        <v>2.5016483353282704</v>
      </c>
      <c r="C22" s="4">
        <f>Score_Altman('C'!A22,'C'!B22,'C'!C22,'C'!D22,'C'!E22,'C'!F22,'C'!G22)</f>
        <v>3.3947584178554155</v>
      </c>
      <c r="D22" s="4">
        <f>Score_Altman(D!A22,D!B22,D!C22,D!D22,D!E22,D!F22,D!G22)</f>
        <v>0.47210265997456147</v>
      </c>
      <c r="E22" s="4">
        <f>Score_Altman(E!A22,E!B22,E!C22,E!D22,E!E22,E!F22,E!G22)</f>
        <v>2.0531032620885483</v>
      </c>
    </row>
  </sheetData>
  <mergeCells count="1">
    <mergeCell ref="H1:J1"/>
  </mergeCells>
  <conditionalFormatting sqref="A2:E22 H2:J2">
    <cfRule type="colorScale" priority="3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4">
      <colorScale>
        <cfvo type="num" val="1.81"/>
        <cfvo type="percentile" val="50"/>
        <cfvo type="num" val="2.99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EB61-9F5D-4FB2-B440-EE3634D57D19}">
  <sheetPr codeName="Feuil9"/>
  <dimension ref="A1:T66"/>
  <sheetViews>
    <sheetView tabSelected="1" topLeftCell="F1" zoomScaleNormal="100" workbookViewId="0">
      <selection activeCell="J5" sqref="J5"/>
    </sheetView>
  </sheetViews>
  <sheetFormatPr baseColWidth="10" defaultRowHeight="15" x14ac:dyDescent="0.25"/>
  <cols>
    <col min="9" max="9" width="16.7109375" customWidth="1"/>
    <col min="20" max="20" width="20.85546875" customWidth="1"/>
  </cols>
  <sheetData>
    <row r="1" spans="1:20" ht="18.75" x14ac:dyDescent="0.25">
      <c r="A1" s="22" t="s">
        <v>25</v>
      </c>
      <c r="B1" s="23"/>
      <c r="C1" s="23"/>
      <c r="D1" s="23"/>
      <c r="E1" s="23"/>
      <c r="F1" s="23"/>
      <c r="G1" s="23"/>
      <c r="H1" s="23"/>
      <c r="I1" s="24"/>
      <c r="L1" s="25" t="s">
        <v>28</v>
      </c>
      <c r="M1" s="26"/>
      <c r="N1" s="26"/>
      <c r="O1" s="26"/>
      <c r="P1" s="26"/>
      <c r="Q1" s="26"/>
      <c r="R1" s="26"/>
      <c r="S1" s="26"/>
      <c r="T1" s="27"/>
    </row>
    <row r="2" spans="1:20" ht="15.75" x14ac:dyDescent="0.25">
      <c r="A2" s="6" t="s">
        <v>27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10" t="s">
        <v>26</v>
      </c>
      <c r="L2" s="6" t="s">
        <v>27</v>
      </c>
      <c r="M2" s="3" t="s">
        <v>0</v>
      </c>
      <c r="N2" s="3" t="s">
        <v>1</v>
      </c>
      <c r="O2" s="3" t="s">
        <v>2</v>
      </c>
      <c r="P2" s="3" t="s">
        <v>3</v>
      </c>
      <c r="Q2" s="3" t="s">
        <v>4</v>
      </c>
      <c r="R2" s="3" t="s">
        <v>5</v>
      </c>
      <c r="S2" s="3" t="s">
        <v>6</v>
      </c>
      <c r="T2" s="12" t="s">
        <v>26</v>
      </c>
    </row>
    <row r="3" spans="1:20" ht="15.75" x14ac:dyDescent="0.25">
      <c r="A3" s="8">
        <v>1</v>
      </c>
      <c r="B3" s="9">
        <v>25099</v>
      </c>
      <c r="C3" s="9">
        <v>4788760</v>
      </c>
      <c r="D3" s="9">
        <v>13566555</v>
      </c>
      <c r="E3" s="9">
        <v>4688760</v>
      </c>
      <c r="F3" s="9">
        <v>304782</v>
      </c>
      <c r="G3" s="9">
        <v>13541456</v>
      </c>
      <c r="H3" s="9">
        <v>5057196</v>
      </c>
      <c r="I3" s="11">
        <f>Score_Altman(B3,C3,D3,E3,F3,G3,H3)</f>
        <v>2.022815501124966</v>
      </c>
      <c r="L3" s="8">
        <v>1</v>
      </c>
      <c r="M3" s="9">
        <v>25105.816429310165</v>
      </c>
      <c r="N3" s="9">
        <v>5073962.9440246187</v>
      </c>
      <c r="O3" s="9">
        <v>10094215.73906683</v>
      </c>
      <c r="P3" s="9">
        <v>5343326.6749473</v>
      </c>
      <c r="Q3" s="9">
        <v>305274.73408686509</v>
      </c>
      <c r="R3" s="9">
        <v>13520157.406039678</v>
      </c>
      <c r="S3" s="9">
        <v>5283567.246759247</v>
      </c>
      <c r="T3" s="13">
        <f>Score_Altman(M3,N3,O3,P3,Q3,R3,S3)</f>
        <v>2.9899982158549778</v>
      </c>
    </row>
    <row r="4" spans="1:20" ht="15.75" x14ac:dyDescent="0.25">
      <c r="A4" s="8">
        <f>1+A3</f>
        <v>2</v>
      </c>
      <c r="B4" s="9">
        <v>5697159</v>
      </c>
      <c r="C4" s="9">
        <v>3196660</v>
      </c>
      <c r="D4" s="9">
        <v>24032434</v>
      </c>
      <c r="E4" s="9">
        <v>3096660</v>
      </c>
      <c r="F4" s="9">
        <v>123104</v>
      </c>
      <c r="G4" s="9">
        <v>18335275</v>
      </c>
      <c r="H4" s="9">
        <v>3669992</v>
      </c>
      <c r="I4" s="11">
        <f t="shared" ref="I4:I66" si="0">Score_Altman(B4,C4,D4,E4,F4,G4,H4)</f>
        <v>1.0524954658230352</v>
      </c>
      <c r="L4" s="8">
        <f>1+L3</f>
        <v>2</v>
      </c>
      <c r="M4" s="9">
        <v>5697159</v>
      </c>
      <c r="N4" s="9">
        <v>3490503.9472670793</v>
      </c>
      <c r="O4" s="9">
        <v>9380149.3387180902</v>
      </c>
      <c r="P4" s="9">
        <v>3741381.9466800862</v>
      </c>
      <c r="Q4" s="9">
        <v>123328.40085279585</v>
      </c>
      <c r="R4" s="9">
        <v>18302936.861510091</v>
      </c>
      <c r="S4" s="9">
        <v>3942808.2149863723</v>
      </c>
      <c r="T4" s="13">
        <f t="shared" ref="T4:T66" si="1">Score_Altman(M4,N4,O4,P4,Q4,R4,S4)</f>
        <v>2.9899999986071037</v>
      </c>
    </row>
    <row r="5" spans="1:20" ht="15.75" x14ac:dyDescent="0.25">
      <c r="A5" s="8">
        <f t="shared" ref="A5:A66" si="2">1+A4</f>
        <v>3</v>
      </c>
      <c r="B5" s="9">
        <v>14124528</v>
      </c>
      <c r="C5" s="9">
        <v>7460138</v>
      </c>
      <c r="D5" s="9">
        <v>24258979</v>
      </c>
      <c r="E5" s="9">
        <v>7360138</v>
      </c>
      <c r="F5" s="9">
        <v>458504</v>
      </c>
      <c r="G5" s="9">
        <v>10134451</v>
      </c>
      <c r="H5" s="9">
        <v>8241103</v>
      </c>
      <c r="I5" s="11">
        <f t="shared" si="0"/>
        <v>2.4969500217324478</v>
      </c>
      <c r="L5" s="8">
        <f t="shared" ref="L5:L66" si="3">1+L4</f>
        <v>3</v>
      </c>
      <c r="M5" s="9">
        <v>14659578.836317528</v>
      </c>
      <c r="N5" s="9">
        <v>7636761.3023639685</v>
      </c>
      <c r="O5" s="9">
        <v>21016647.871292394</v>
      </c>
      <c r="P5" s="9">
        <v>7757192.1441652449</v>
      </c>
      <c r="Q5" s="9">
        <v>459176.81634759181</v>
      </c>
      <c r="R5" s="9">
        <v>10119602.667271802</v>
      </c>
      <c r="S5" s="9">
        <v>8394252.8575724345</v>
      </c>
      <c r="T5" s="13">
        <f t="shared" si="1"/>
        <v>2.9899977994800464</v>
      </c>
    </row>
    <row r="6" spans="1:20" ht="15.75" x14ac:dyDescent="0.25">
      <c r="A6" s="8">
        <f t="shared" si="2"/>
        <v>4</v>
      </c>
      <c r="B6" s="9">
        <v>1559563</v>
      </c>
      <c r="C6" s="9">
        <v>8221100</v>
      </c>
      <c r="D6" s="9">
        <v>19201074</v>
      </c>
      <c r="E6" s="9">
        <v>8121100</v>
      </c>
      <c r="F6" s="9">
        <v>410821</v>
      </c>
      <c r="G6" s="9">
        <v>17641511</v>
      </c>
      <c r="H6" s="9">
        <v>8583139</v>
      </c>
      <c r="I6" s="11">
        <f t="shared" si="0"/>
        <v>2.5531636791847845</v>
      </c>
      <c r="L6" s="8">
        <f t="shared" si="3"/>
        <v>4</v>
      </c>
      <c r="M6" s="9">
        <v>1566375.0613358484</v>
      </c>
      <c r="N6" s="9">
        <v>8442300.5875473395</v>
      </c>
      <c r="O6" s="9">
        <v>17043090.850600824</v>
      </c>
      <c r="P6" s="9">
        <v>8620551.3059420176</v>
      </c>
      <c r="Q6" s="9">
        <v>411074.89919904305</v>
      </c>
      <c r="R6" s="9">
        <v>17630886.315744001</v>
      </c>
      <c r="S6" s="9">
        <v>8752926.1906876601</v>
      </c>
      <c r="T6" s="13">
        <f t="shared" si="1"/>
        <v>3.0000008697651728</v>
      </c>
    </row>
    <row r="7" spans="1:20" ht="15.75" x14ac:dyDescent="0.25">
      <c r="A7" s="8">
        <f t="shared" si="2"/>
        <v>5</v>
      </c>
      <c r="B7" s="9">
        <v>7220041</v>
      </c>
      <c r="C7" s="9">
        <v>3141192</v>
      </c>
      <c r="D7" s="9">
        <v>19726999</v>
      </c>
      <c r="E7" s="9">
        <v>3041192</v>
      </c>
      <c r="F7" s="9">
        <v>113888</v>
      </c>
      <c r="G7" s="9">
        <v>12506958</v>
      </c>
      <c r="H7" s="9">
        <v>3469461</v>
      </c>
      <c r="I7" s="11">
        <f t="shared" si="0"/>
        <v>1.352026321079477</v>
      </c>
      <c r="L7" s="8">
        <f t="shared" si="3"/>
        <v>5</v>
      </c>
      <c r="M7" s="9">
        <v>8313979.0272343233</v>
      </c>
      <c r="N7" s="9">
        <v>3380642.3164150533</v>
      </c>
      <c r="O7" s="9">
        <v>10069469.19641191</v>
      </c>
      <c r="P7" s="9">
        <v>3565779.3884052364</v>
      </c>
      <c r="Q7" s="9">
        <v>114091.93407294729</v>
      </c>
      <c r="R7" s="9">
        <v>12484447.700273409</v>
      </c>
      <c r="S7" s="9">
        <v>3680133.231864471</v>
      </c>
      <c r="T7" s="13">
        <f t="shared" si="1"/>
        <v>3.0000005642621836</v>
      </c>
    </row>
    <row r="8" spans="1:20" ht="15.75" x14ac:dyDescent="0.25">
      <c r="A8" s="8">
        <f t="shared" si="2"/>
        <v>6</v>
      </c>
      <c r="B8" s="9">
        <v>-7705792</v>
      </c>
      <c r="C8" s="9">
        <v>6297910</v>
      </c>
      <c r="D8" s="9">
        <v>13749043</v>
      </c>
      <c r="E8" s="9">
        <v>6197910</v>
      </c>
      <c r="F8" s="9">
        <v>223844</v>
      </c>
      <c r="G8" s="9">
        <v>21454835</v>
      </c>
      <c r="H8" s="9">
        <v>7004684</v>
      </c>
      <c r="I8" s="11">
        <f t="shared" si="0"/>
        <v>1.9715535376170539</v>
      </c>
      <c r="L8" s="8">
        <f t="shared" si="3"/>
        <v>6</v>
      </c>
      <c r="M8" s="9">
        <v>161803.08798515811</v>
      </c>
      <c r="N8" s="9">
        <v>6423044.0517557412</v>
      </c>
      <c r="O8" s="9">
        <v>12637245.243408903</v>
      </c>
      <c r="P8" s="9">
        <v>6488185.3897816241</v>
      </c>
      <c r="Q8" s="9">
        <v>223888.2795317226</v>
      </c>
      <c r="R8" s="9">
        <v>21450730.753793638</v>
      </c>
      <c r="S8" s="9">
        <v>7115914.2999558784</v>
      </c>
      <c r="T8" s="13">
        <f t="shared" si="1"/>
        <v>2.9900010233485976</v>
      </c>
    </row>
    <row r="9" spans="1:20" ht="15.75" x14ac:dyDescent="0.25">
      <c r="A9" s="8">
        <f t="shared" si="2"/>
        <v>7</v>
      </c>
      <c r="B9" s="9">
        <v>162202</v>
      </c>
      <c r="C9" s="9">
        <v>2707649</v>
      </c>
      <c r="D9" s="9">
        <v>23575056</v>
      </c>
      <c r="E9" s="9">
        <v>2607649</v>
      </c>
      <c r="F9" s="9">
        <v>245758</v>
      </c>
      <c r="G9" s="9">
        <v>23412854</v>
      </c>
      <c r="H9" s="9">
        <v>3471145</v>
      </c>
      <c r="I9" s="11">
        <f t="shared" si="0"/>
        <v>0.68745299725557452</v>
      </c>
      <c r="L9" s="8">
        <f t="shared" si="3"/>
        <v>7</v>
      </c>
      <c r="M9" s="9">
        <v>163271.55755333768</v>
      </c>
      <c r="N9" s="9">
        <v>3056574.2396720196</v>
      </c>
      <c r="O9" s="9">
        <v>6518248.9816845795</v>
      </c>
      <c r="P9" s="9">
        <v>3363652.8262397228</v>
      </c>
      <c r="Q9" s="9">
        <v>246815.57848415093</v>
      </c>
      <c r="R9" s="9">
        <v>23312335.766356345</v>
      </c>
      <c r="S9" s="9">
        <v>3876852.4830611167</v>
      </c>
      <c r="T9" s="13">
        <f t="shared" si="1"/>
        <v>2.9900002424346885</v>
      </c>
    </row>
    <row r="10" spans="1:20" ht="15.75" x14ac:dyDescent="0.25">
      <c r="A10" s="8">
        <f t="shared" si="2"/>
        <v>8</v>
      </c>
      <c r="B10" s="9">
        <v>10279145</v>
      </c>
      <c r="C10" s="9">
        <v>4100015</v>
      </c>
      <c r="D10" s="9">
        <v>20671895</v>
      </c>
      <c r="E10" s="9">
        <v>4000015</v>
      </c>
      <c r="F10" s="9">
        <v>340240</v>
      </c>
      <c r="G10" s="9">
        <v>10392750</v>
      </c>
      <c r="H10" s="9">
        <v>4899009</v>
      </c>
      <c r="I10" s="11">
        <f t="shared" si="0"/>
        <v>1.7693205778630283</v>
      </c>
      <c r="L10" s="8">
        <f t="shared" si="3"/>
        <v>8</v>
      </c>
      <c r="M10" s="9">
        <v>11416252.396439461</v>
      </c>
      <c r="N10" s="9">
        <v>4309291.8151926761</v>
      </c>
      <c r="O10" s="9">
        <v>13327242.75137523</v>
      </c>
      <c r="P10" s="9">
        <v>4467971.038037288</v>
      </c>
      <c r="Q10" s="9">
        <v>341369.09898375662</v>
      </c>
      <c r="R10" s="9">
        <v>10358325.980238944</v>
      </c>
      <c r="S10" s="9">
        <v>5113232.0339893503</v>
      </c>
      <c r="T10" s="13">
        <f t="shared" si="1"/>
        <v>2.9900004013582246</v>
      </c>
    </row>
    <row r="11" spans="1:20" ht="15.75" x14ac:dyDescent="0.25">
      <c r="A11" s="8">
        <f t="shared" si="2"/>
        <v>9</v>
      </c>
      <c r="B11" s="9">
        <v>-816657</v>
      </c>
      <c r="C11" s="9">
        <v>3314632</v>
      </c>
      <c r="D11" s="9">
        <v>15620529</v>
      </c>
      <c r="E11" s="9">
        <v>3214632</v>
      </c>
      <c r="F11" s="9">
        <v>223387</v>
      </c>
      <c r="G11" s="9">
        <v>16437186</v>
      </c>
      <c r="H11" s="9">
        <v>4061840</v>
      </c>
      <c r="I11" s="11">
        <f t="shared" si="0"/>
        <v>1.1813897705145358</v>
      </c>
      <c r="L11" s="8">
        <f t="shared" si="3"/>
        <v>9</v>
      </c>
      <c r="M11" s="9">
        <v>0</v>
      </c>
      <c r="N11" s="9">
        <v>3685656.1112419674</v>
      </c>
      <c r="O11" s="9">
        <v>7683793.4649911458</v>
      </c>
      <c r="P11" s="9">
        <v>4032798.3930419325</v>
      </c>
      <c r="Q11" s="9">
        <v>224036.75802888247</v>
      </c>
      <c r="R11" s="9">
        <v>16389823.679876113</v>
      </c>
      <c r="S11" s="9">
        <v>4447818.5917482274</v>
      </c>
      <c r="T11" s="13">
        <f t="shared" si="1"/>
        <v>2.9900000818849226</v>
      </c>
    </row>
    <row r="12" spans="1:20" ht="15.75" x14ac:dyDescent="0.25">
      <c r="A12" s="8">
        <f t="shared" si="2"/>
        <v>10</v>
      </c>
      <c r="B12" s="9">
        <v>-4693175</v>
      </c>
      <c r="C12" s="9">
        <v>2622315</v>
      </c>
      <c r="D12" s="9">
        <v>14177487</v>
      </c>
      <c r="E12" s="9">
        <v>2522315</v>
      </c>
      <c r="F12" s="9">
        <v>407920</v>
      </c>
      <c r="G12" s="9">
        <v>18870662</v>
      </c>
      <c r="H12" s="9">
        <v>2986883</v>
      </c>
      <c r="I12" s="11">
        <f t="shared" si="0"/>
        <v>0.67225230100045819</v>
      </c>
      <c r="L12" s="8">
        <f t="shared" si="3"/>
        <v>10</v>
      </c>
      <c r="M12" s="9">
        <v>1529883.6259602492</v>
      </c>
      <c r="N12" s="9">
        <v>1807569.8375319939</v>
      </c>
      <c r="O12" s="9">
        <v>6443013.5938831689</v>
      </c>
      <c r="P12" s="9">
        <v>3328026.2177798566</v>
      </c>
      <c r="Q12" s="9">
        <v>408057.01605612622</v>
      </c>
      <c r="R12" s="9">
        <v>20482700.215105508</v>
      </c>
      <c r="S12" s="9">
        <v>3842491.6496076239</v>
      </c>
      <c r="T12" s="13">
        <f t="shared" si="1"/>
        <v>2.9899997595701686</v>
      </c>
    </row>
    <row r="13" spans="1:20" ht="15.75" x14ac:dyDescent="0.25">
      <c r="A13" s="8">
        <f t="shared" si="2"/>
        <v>11</v>
      </c>
      <c r="B13" s="9">
        <v>11803165</v>
      </c>
      <c r="C13" s="9">
        <v>9120635</v>
      </c>
      <c r="D13" s="9">
        <v>24192612</v>
      </c>
      <c r="E13" s="9">
        <v>9020635</v>
      </c>
      <c r="F13" s="9">
        <v>189359</v>
      </c>
      <c r="G13" s="9">
        <v>12389447</v>
      </c>
      <c r="H13" s="9">
        <v>9397810</v>
      </c>
      <c r="I13" s="11">
        <f t="shared" si="0"/>
        <v>2.7409627818064171</v>
      </c>
      <c r="L13" s="8">
        <f t="shared" si="3"/>
        <v>11</v>
      </c>
      <c r="M13" s="9">
        <v>11971972.749524467</v>
      </c>
      <c r="N13" s="9">
        <v>9234772.1562487725</v>
      </c>
      <c r="O13" s="9">
        <v>22617279.372781754</v>
      </c>
      <c r="P13" s="9">
        <v>9286722.8018305171</v>
      </c>
      <c r="Q13" s="9">
        <v>189400.31433073018</v>
      </c>
      <c r="R13" s="9">
        <v>12386692.716732722</v>
      </c>
      <c r="S13" s="9">
        <v>9486392.3440503832</v>
      </c>
      <c r="T13" s="13">
        <f t="shared" si="1"/>
        <v>2.9899987688341323</v>
      </c>
    </row>
    <row r="14" spans="1:20" ht="15.75" x14ac:dyDescent="0.25">
      <c r="A14" s="8">
        <f t="shared" si="2"/>
        <v>12</v>
      </c>
      <c r="B14" s="9">
        <v>5183016</v>
      </c>
      <c r="C14" s="9">
        <v>8787655</v>
      </c>
      <c r="D14" s="9">
        <v>19195036</v>
      </c>
      <c r="E14" s="9">
        <v>8687655</v>
      </c>
      <c r="F14" s="9">
        <v>123284</v>
      </c>
      <c r="G14" s="9">
        <v>14012020</v>
      </c>
      <c r="H14" s="9">
        <v>9587930</v>
      </c>
      <c r="I14" s="11">
        <f t="shared" si="0"/>
        <v>2.9628114092384465</v>
      </c>
      <c r="L14" s="8">
        <f t="shared" si="3"/>
        <v>12</v>
      </c>
      <c r="M14" s="9">
        <v>5186970.9462074246</v>
      </c>
      <c r="N14" s="9">
        <v>8801065.9957655556</v>
      </c>
      <c r="O14" s="9">
        <v>19064392.239522118</v>
      </c>
      <c r="P14" s="9">
        <v>8717170.6879806891</v>
      </c>
      <c r="Q14" s="9">
        <v>123285.53417054235</v>
      </c>
      <c r="R14" s="9">
        <v>14011848.173238993</v>
      </c>
      <c r="S14" s="9">
        <v>9598951.2643362172</v>
      </c>
      <c r="T14" s="13">
        <f t="shared" si="1"/>
        <v>2.9899992954142656</v>
      </c>
    </row>
    <row r="15" spans="1:20" ht="15.75" x14ac:dyDescent="0.25">
      <c r="A15" s="8">
        <f t="shared" si="2"/>
        <v>13</v>
      </c>
      <c r="B15" s="9">
        <v>2034404</v>
      </c>
      <c r="C15" s="9">
        <v>6354879</v>
      </c>
      <c r="D15" s="9">
        <v>20751230</v>
      </c>
      <c r="E15" s="9">
        <v>6254879</v>
      </c>
      <c r="F15" s="9">
        <v>326177</v>
      </c>
      <c r="G15" s="9">
        <v>18716826</v>
      </c>
      <c r="H15" s="9">
        <v>7279835</v>
      </c>
      <c r="I15" s="11">
        <f t="shared" si="0"/>
        <v>1.9019956661183672</v>
      </c>
      <c r="L15" s="8">
        <f t="shared" si="3"/>
        <v>13</v>
      </c>
      <c r="M15" s="9">
        <v>2069480.2840125861</v>
      </c>
      <c r="N15" s="9">
        <v>6744809.8834755635</v>
      </c>
      <c r="O15" s="9">
        <v>14499646.737906525</v>
      </c>
      <c r="P15" s="9">
        <v>7161821.5338977557</v>
      </c>
      <c r="Q15" s="9">
        <v>326646.21843744308</v>
      </c>
      <c r="R15" s="9">
        <v>18689634.797022123</v>
      </c>
      <c r="S15" s="9">
        <v>7649409.109576311</v>
      </c>
      <c r="T15" s="13">
        <f t="shared" si="1"/>
        <v>2.9899990340246734</v>
      </c>
    </row>
    <row r="16" spans="1:20" ht="15.75" x14ac:dyDescent="0.25">
      <c r="A16" s="8">
        <f t="shared" si="2"/>
        <v>14</v>
      </c>
      <c r="B16" s="9">
        <v>-5685903</v>
      </c>
      <c r="C16" s="9">
        <v>2132209</v>
      </c>
      <c r="D16" s="9">
        <v>12453407</v>
      </c>
      <c r="E16" s="9">
        <v>2032209</v>
      </c>
      <c r="F16" s="9">
        <v>308071</v>
      </c>
      <c r="G16" s="9">
        <v>18139310</v>
      </c>
      <c r="H16" s="9">
        <v>2642118</v>
      </c>
      <c r="I16" s="11">
        <f t="shared" si="0"/>
        <v>0.45246067042608756</v>
      </c>
      <c r="L16" s="8">
        <f t="shared" si="3"/>
        <v>14</v>
      </c>
      <c r="M16" s="9">
        <v>2381184.0601671762</v>
      </c>
      <c r="N16" s="9">
        <v>1413971.6417959235</v>
      </c>
      <c r="O16" s="9">
        <v>5794754.0701737208</v>
      </c>
      <c r="P16" s="9">
        <v>2665726.1918192771</v>
      </c>
      <c r="Q16" s="9">
        <v>308124.66096789076</v>
      </c>
      <c r="R16" s="9">
        <v>19865041.391318992</v>
      </c>
      <c r="S16" s="9">
        <v>3642151.2292879671</v>
      </c>
      <c r="T16" s="13">
        <f t="shared" si="1"/>
        <v>2.9900002492757647</v>
      </c>
    </row>
    <row r="17" spans="1:20" ht="15.75" x14ac:dyDescent="0.25">
      <c r="A17" s="8">
        <f t="shared" si="2"/>
        <v>15</v>
      </c>
      <c r="B17" s="9">
        <v>10239761</v>
      </c>
      <c r="C17" s="9">
        <v>7216077</v>
      </c>
      <c r="D17" s="9">
        <v>22323551</v>
      </c>
      <c r="E17" s="9">
        <v>7116077</v>
      </c>
      <c r="F17" s="9">
        <v>181379</v>
      </c>
      <c r="G17" s="9">
        <v>12083790</v>
      </c>
      <c r="H17" s="9">
        <v>7815880</v>
      </c>
      <c r="I17" s="11">
        <f t="shared" si="0"/>
        <v>2.4137013045098472</v>
      </c>
      <c r="L17" s="8">
        <f t="shared" si="3"/>
        <v>15</v>
      </c>
      <c r="M17" s="9">
        <v>10591424.942020848</v>
      </c>
      <c r="N17" s="9">
        <v>7422421.1969643459</v>
      </c>
      <c r="O17" s="9">
        <v>18820171.325510714</v>
      </c>
      <c r="P17" s="9">
        <v>7582731.9303168328</v>
      </c>
      <c r="Q17" s="9">
        <v>181479.04431972749</v>
      </c>
      <c r="R17" s="9">
        <v>12077194.862810621</v>
      </c>
      <c r="S17" s="9">
        <v>7986485.4354620054</v>
      </c>
      <c r="T17" s="13">
        <f t="shared" si="1"/>
        <v>2.9899990185786933</v>
      </c>
    </row>
    <row r="18" spans="1:20" ht="15.75" x14ac:dyDescent="0.25">
      <c r="A18" s="8">
        <f t="shared" si="2"/>
        <v>16</v>
      </c>
      <c r="B18" s="9">
        <v>-5188964</v>
      </c>
      <c r="C18" s="9">
        <v>6301456</v>
      </c>
      <c r="D18" s="9">
        <v>10585803</v>
      </c>
      <c r="E18" s="9">
        <v>6201456</v>
      </c>
      <c r="F18" s="9">
        <v>481592</v>
      </c>
      <c r="G18" s="9">
        <v>15774767</v>
      </c>
      <c r="H18" s="9">
        <v>6609908</v>
      </c>
      <c r="I18" s="11">
        <f t="shared" si="0"/>
        <v>2.8205031348194871</v>
      </c>
      <c r="L18" s="8">
        <f t="shared" si="3"/>
        <v>16</v>
      </c>
      <c r="M18" s="9">
        <v>0</v>
      </c>
      <c r="N18" s="9">
        <v>6154414.7671743445</v>
      </c>
      <c r="O18" s="9">
        <v>11590774.563031821</v>
      </c>
      <c r="P18" s="9">
        <v>5860359.0746347783</v>
      </c>
      <c r="Q18" s="9">
        <v>481341.52565505682</v>
      </c>
      <c r="R18" s="9">
        <v>15783040.716773938</v>
      </c>
      <c r="S18" s="9">
        <v>6495445.1848311257</v>
      </c>
      <c r="T18" s="13">
        <f t="shared" si="1"/>
        <v>2.9899992256863399</v>
      </c>
    </row>
    <row r="19" spans="1:20" ht="15.75" x14ac:dyDescent="0.25">
      <c r="A19" s="8">
        <f t="shared" si="2"/>
        <v>17</v>
      </c>
      <c r="B19" s="9">
        <v>-4705002</v>
      </c>
      <c r="C19" s="9">
        <v>49854</v>
      </c>
      <c r="D19" s="9">
        <v>12760474</v>
      </c>
      <c r="E19" s="9">
        <v>-50146</v>
      </c>
      <c r="F19" s="9">
        <v>264554</v>
      </c>
      <c r="G19" s="9">
        <v>17465476</v>
      </c>
      <c r="H19" s="9">
        <v>1009722</v>
      </c>
      <c r="I19" s="11">
        <f t="shared" si="0"/>
        <v>-0.36182077860307349</v>
      </c>
      <c r="L19" s="8">
        <f t="shared" si="3"/>
        <v>17</v>
      </c>
      <c r="M19" s="9">
        <v>8199562.4557149159</v>
      </c>
      <c r="N19" s="9">
        <v>32357.198814716394</v>
      </c>
      <c r="O19" s="9">
        <v>4387308.1579821734</v>
      </c>
      <c r="P19" s="9">
        <v>0</v>
      </c>
      <c r="Q19" s="9">
        <v>263534.99872512673</v>
      </c>
      <c r="R19" s="9">
        <v>22796530.461780347</v>
      </c>
      <c r="S19" s="9">
        <v>3249968.2464948916</v>
      </c>
      <c r="T19" s="13">
        <f t="shared" si="1"/>
        <v>3.0000001254361748</v>
      </c>
    </row>
    <row r="20" spans="1:20" ht="15.75" x14ac:dyDescent="0.25">
      <c r="A20" s="8">
        <f t="shared" si="2"/>
        <v>18</v>
      </c>
      <c r="B20" s="9">
        <v>-8007787</v>
      </c>
      <c r="C20" s="9">
        <v>2257975</v>
      </c>
      <c r="D20" s="9">
        <v>13637467</v>
      </c>
      <c r="E20" s="9">
        <v>2157975</v>
      </c>
      <c r="F20" s="9">
        <v>225825</v>
      </c>
      <c r="G20" s="9">
        <v>21645254</v>
      </c>
      <c r="H20" s="9">
        <v>3042758</v>
      </c>
      <c r="I20" s="11">
        <f t="shared" si="0"/>
        <v>0.27851368457977776</v>
      </c>
      <c r="L20" s="8">
        <f t="shared" si="3"/>
        <v>18</v>
      </c>
      <c r="M20" s="9">
        <v>3803280.3393482044</v>
      </c>
      <c r="N20" s="9">
        <v>1628170.593241995</v>
      </c>
      <c r="O20" s="9">
        <v>6767007.2247421099</v>
      </c>
      <c r="P20" s="9">
        <v>2765202.6106113559</v>
      </c>
      <c r="Q20" s="9">
        <v>225905.77454099985</v>
      </c>
      <c r="R20" s="9">
        <v>23563528.389002513</v>
      </c>
      <c r="S20" s="9">
        <v>4297848.7348473817</v>
      </c>
      <c r="T20" s="13">
        <f t="shared" si="1"/>
        <v>2.9999997990022309</v>
      </c>
    </row>
    <row r="21" spans="1:20" ht="15.75" x14ac:dyDescent="0.25">
      <c r="A21" s="8">
        <f t="shared" si="2"/>
        <v>19</v>
      </c>
      <c r="B21" s="9">
        <v>8443487</v>
      </c>
      <c r="C21" s="9">
        <v>7677471</v>
      </c>
      <c r="D21" s="9">
        <v>18950949</v>
      </c>
      <c r="E21" s="9">
        <v>7577471</v>
      </c>
      <c r="F21" s="9">
        <v>138883</v>
      </c>
      <c r="G21" s="9">
        <v>10507462</v>
      </c>
      <c r="H21" s="9">
        <v>8442581</v>
      </c>
      <c r="I21" s="11">
        <f t="shared" si="0"/>
        <v>2.8743009417861618</v>
      </c>
      <c r="L21" s="8">
        <f t="shared" si="3"/>
        <v>19</v>
      </c>
      <c r="M21" s="9">
        <v>8490834.8892132808</v>
      </c>
      <c r="N21" s="9">
        <v>7723266.8929929538</v>
      </c>
      <c r="O21" s="9">
        <v>18383542.10366312</v>
      </c>
      <c r="P21" s="9">
        <v>7680575.6127022114</v>
      </c>
      <c r="Q21" s="9">
        <v>138894.61915580113</v>
      </c>
      <c r="R21" s="9">
        <v>10506594.438094459</v>
      </c>
      <c r="S21" s="9">
        <v>8481993.8887949549</v>
      </c>
      <c r="T21" s="13">
        <f t="shared" si="1"/>
        <v>2.9900006503924055</v>
      </c>
    </row>
    <row r="22" spans="1:20" ht="15.75" x14ac:dyDescent="0.25">
      <c r="A22" s="8">
        <f t="shared" si="2"/>
        <v>20</v>
      </c>
      <c r="B22" s="9">
        <v>-10450267</v>
      </c>
      <c r="C22" s="9">
        <v>7723385</v>
      </c>
      <c r="D22" s="9">
        <v>14483512</v>
      </c>
      <c r="E22" s="9">
        <v>7623385</v>
      </c>
      <c r="F22" s="9">
        <v>363396</v>
      </c>
      <c r="G22" s="9">
        <v>24933779</v>
      </c>
      <c r="H22" s="9">
        <v>8287099</v>
      </c>
      <c r="I22" s="11">
        <f t="shared" si="0"/>
        <v>2.1980203757624532</v>
      </c>
      <c r="L22" s="8">
        <f t="shared" si="3"/>
        <v>20</v>
      </c>
      <c r="M22" s="9">
        <v>0</v>
      </c>
      <c r="N22" s="9">
        <v>7690441.3411681848</v>
      </c>
      <c r="O22" s="9">
        <v>14735745.21223525</v>
      </c>
      <c r="P22" s="9">
        <v>7549210.0131653305</v>
      </c>
      <c r="Q22" s="9">
        <v>363378.106328981</v>
      </c>
      <c r="R22" s="9">
        <v>24934973.983587779</v>
      </c>
      <c r="S22" s="9">
        <v>8260248.2535293624</v>
      </c>
      <c r="T22" s="13">
        <f t="shared" si="1"/>
        <v>2.9899978598363868</v>
      </c>
    </row>
    <row r="23" spans="1:20" ht="15.75" x14ac:dyDescent="0.25">
      <c r="A23" s="8">
        <f t="shared" si="2"/>
        <v>21</v>
      </c>
      <c r="B23" s="9">
        <v>9684313</v>
      </c>
      <c r="C23" s="9">
        <v>4759231</v>
      </c>
      <c r="D23" s="9">
        <v>22248542</v>
      </c>
      <c r="E23" s="9">
        <v>4659231</v>
      </c>
      <c r="F23" s="9">
        <v>344243</v>
      </c>
      <c r="G23" s="9">
        <v>12564229</v>
      </c>
      <c r="H23" s="9">
        <v>5569819</v>
      </c>
      <c r="I23" s="11">
        <f t="shared" si="0"/>
        <v>1.779422605881855</v>
      </c>
      <c r="L23" s="8">
        <f t="shared" si="3"/>
        <v>21</v>
      </c>
      <c r="M23" s="9">
        <v>10568470.291040143</v>
      </c>
      <c r="N23" s="9">
        <v>5010754.9835959654</v>
      </c>
      <c r="O23" s="9">
        <v>14395535.088665416</v>
      </c>
      <c r="P23" s="9">
        <v>5241682.1977880625</v>
      </c>
      <c r="Q23" s="9">
        <v>345162.11988342711</v>
      </c>
      <c r="R23" s="9">
        <v>12530746.082107674</v>
      </c>
      <c r="S23" s="9">
        <v>5815764.5533490526</v>
      </c>
      <c r="T23" s="13">
        <f t="shared" si="1"/>
        <v>2.9899991366591521</v>
      </c>
    </row>
    <row r="24" spans="1:20" ht="15.75" x14ac:dyDescent="0.25">
      <c r="A24" s="8">
        <f t="shared" si="2"/>
        <v>22</v>
      </c>
      <c r="B24" s="9">
        <v>9067748</v>
      </c>
      <c r="C24" s="9">
        <v>6505027</v>
      </c>
      <c r="D24" s="9">
        <v>22729020</v>
      </c>
      <c r="E24" s="9">
        <v>6405027</v>
      </c>
      <c r="F24" s="9">
        <v>201039</v>
      </c>
      <c r="G24" s="9">
        <v>13661272</v>
      </c>
      <c r="H24" s="9">
        <v>7461786</v>
      </c>
      <c r="I24" s="11">
        <f t="shared" si="0"/>
        <v>2.1461522138097835</v>
      </c>
      <c r="L24" s="8">
        <f t="shared" si="3"/>
        <v>22</v>
      </c>
      <c r="M24" s="9">
        <v>9519030.2387587503</v>
      </c>
      <c r="N24" s="9">
        <v>6779150.1781691052</v>
      </c>
      <c r="O24" s="9">
        <v>17394778.890886646</v>
      </c>
      <c r="P24" s="9">
        <v>7039381.7359740371</v>
      </c>
      <c r="Q24" s="9">
        <v>201222.84333437163</v>
      </c>
      <c r="R24" s="9">
        <v>13649006.184840731</v>
      </c>
      <c r="S24" s="9">
        <v>7720627.1857661391</v>
      </c>
      <c r="T24" s="13">
        <f t="shared" si="1"/>
        <v>2.989999564592519</v>
      </c>
    </row>
    <row r="25" spans="1:20" ht="15.75" x14ac:dyDescent="0.25">
      <c r="A25" s="8">
        <f t="shared" si="2"/>
        <v>23</v>
      </c>
      <c r="B25" s="9">
        <v>5206084</v>
      </c>
      <c r="C25" s="9">
        <v>2402015</v>
      </c>
      <c r="D25" s="9">
        <v>21742356</v>
      </c>
      <c r="E25" s="9">
        <v>2302015</v>
      </c>
      <c r="F25" s="9">
        <v>148290</v>
      </c>
      <c r="G25" s="9">
        <v>16536272</v>
      </c>
      <c r="H25" s="9">
        <v>2694615</v>
      </c>
      <c r="I25" s="11">
        <f t="shared" si="0"/>
        <v>0.92058455878652834</v>
      </c>
      <c r="L25" s="8">
        <f t="shared" si="3"/>
        <v>23</v>
      </c>
      <c r="M25" s="9">
        <v>6063692.3209627895</v>
      </c>
      <c r="N25" s="9">
        <v>2612283.5809772005</v>
      </c>
      <c r="O25" s="9">
        <v>7674398.1945572011</v>
      </c>
      <c r="P25" s="9">
        <v>2753578.58717319</v>
      </c>
      <c r="Q25" s="9">
        <v>148698.38237168352</v>
      </c>
      <c r="R25" s="9">
        <v>16490827.149310784</v>
      </c>
      <c r="S25" s="9">
        <v>2887383.7102903882</v>
      </c>
      <c r="T25" s="13">
        <f t="shared" si="1"/>
        <v>2.9900004545603425</v>
      </c>
    </row>
    <row r="26" spans="1:20" ht="15.75" x14ac:dyDescent="0.25">
      <c r="A26" s="8">
        <f t="shared" si="2"/>
        <v>24</v>
      </c>
      <c r="B26" s="9">
        <v>-795227</v>
      </c>
      <c r="C26" s="9">
        <v>10817831</v>
      </c>
      <c r="D26" s="9">
        <v>22192778</v>
      </c>
      <c r="E26" s="9">
        <v>10717831</v>
      </c>
      <c r="F26" s="9">
        <v>200485</v>
      </c>
      <c r="G26" s="9">
        <v>22988005</v>
      </c>
      <c r="H26" s="9">
        <v>11319869</v>
      </c>
      <c r="I26" s="11">
        <f t="shared" si="0"/>
        <v>2.7479305292058758</v>
      </c>
      <c r="L26" s="8">
        <f t="shared" si="3"/>
        <v>24</v>
      </c>
      <c r="M26" s="9">
        <v>0</v>
      </c>
      <c r="N26" s="9">
        <v>10948137.539927578</v>
      </c>
      <c r="O26" s="9">
        <v>21128946.916878585</v>
      </c>
      <c r="P26" s="9">
        <v>11008310.469919771</v>
      </c>
      <c r="Q26" s="9">
        <v>200503.45067376131</v>
      </c>
      <c r="R26" s="9">
        <v>22985915.820232976</v>
      </c>
      <c r="S26" s="9">
        <v>11421589.856997455</v>
      </c>
      <c r="T26" s="13">
        <f t="shared" si="1"/>
        <v>2.990000911677448</v>
      </c>
    </row>
    <row r="27" spans="1:20" ht="15.75" x14ac:dyDescent="0.25">
      <c r="A27" s="8">
        <f t="shared" si="2"/>
        <v>25</v>
      </c>
      <c r="B27" s="9">
        <v>9567109</v>
      </c>
      <c r="C27" s="9">
        <v>2080415</v>
      </c>
      <c r="D27" s="9">
        <v>23002305</v>
      </c>
      <c r="E27" s="9">
        <v>1980415</v>
      </c>
      <c r="F27" s="9">
        <v>199289</v>
      </c>
      <c r="G27" s="9">
        <v>13435196</v>
      </c>
      <c r="H27" s="9">
        <v>2915591</v>
      </c>
      <c r="I27" s="11">
        <f t="shared" si="0"/>
        <v>1.0453682153318928</v>
      </c>
      <c r="L27" s="8">
        <f t="shared" si="3"/>
        <v>25</v>
      </c>
      <c r="M27" s="9">
        <v>11745857.183226284</v>
      </c>
      <c r="N27" s="9">
        <v>2200389.898328905</v>
      </c>
      <c r="O27" s="9">
        <v>9274282.6107367147</v>
      </c>
      <c r="P27" s="9">
        <v>2239754.5665974324</v>
      </c>
      <c r="Q27" s="9">
        <v>200043.12166445208</v>
      </c>
      <c r="R27" s="9">
        <v>13384963.154760683</v>
      </c>
      <c r="S27" s="9">
        <v>3083254.4720503013</v>
      </c>
      <c r="T27" s="13">
        <f t="shared" si="1"/>
        <v>2.9899993356573575</v>
      </c>
    </row>
    <row r="28" spans="1:20" ht="15.75" x14ac:dyDescent="0.25">
      <c r="A28" s="8">
        <f t="shared" si="2"/>
        <v>26</v>
      </c>
      <c r="B28" s="9">
        <v>-467841</v>
      </c>
      <c r="C28" s="9">
        <v>6960226</v>
      </c>
      <c r="D28" s="9">
        <v>15805880</v>
      </c>
      <c r="E28" s="9">
        <v>6860226</v>
      </c>
      <c r="F28" s="9">
        <v>207048</v>
      </c>
      <c r="G28" s="9">
        <v>16273721</v>
      </c>
      <c r="H28" s="9">
        <v>7606049</v>
      </c>
      <c r="I28" s="11">
        <f t="shared" si="0"/>
        <v>2.5016483353282704</v>
      </c>
      <c r="L28" s="8">
        <f t="shared" si="3"/>
        <v>26</v>
      </c>
      <c r="M28" s="9">
        <v>0</v>
      </c>
      <c r="N28" s="9">
        <v>7150592.9935469143</v>
      </c>
      <c r="O28" s="9">
        <v>14020541.84269831</v>
      </c>
      <c r="P28" s="9">
        <v>7286705.6809196519</v>
      </c>
      <c r="Q28" s="9">
        <v>207119.03136042558</v>
      </c>
      <c r="R28" s="9">
        <v>16268164.780695595</v>
      </c>
      <c r="S28" s="9">
        <v>7765096.9533312675</v>
      </c>
      <c r="T28" s="13">
        <f t="shared" si="1"/>
        <v>2.9899979780209218</v>
      </c>
    </row>
    <row r="29" spans="1:20" ht="15.75" x14ac:dyDescent="0.25">
      <c r="A29" s="8">
        <f t="shared" si="2"/>
        <v>27</v>
      </c>
      <c r="B29" s="9">
        <v>-4071868</v>
      </c>
      <c r="C29" s="9">
        <v>8971976</v>
      </c>
      <c r="D29" s="9">
        <v>15701038</v>
      </c>
      <c r="E29" s="9">
        <v>8871976</v>
      </c>
      <c r="F29" s="9">
        <v>203124</v>
      </c>
      <c r="G29" s="9">
        <v>19772906</v>
      </c>
      <c r="H29" s="9">
        <v>9253255</v>
      </c>
      <c r="I29" s="11">
        <f t="shared" si="0"/>
        <v>2.9483925803838336</v>
      </c>
      <c r="L29" s="8">
        <f t="shared" si="3"/>
        <v>27</v>
      </c>
      <c r="M29" s="9">
        <v>0</v>
      </c>
      <c r="N29" s="9">
        <v>8834392.2677483838</v>
      </c>
      <c r="O29" s="9">
        <v>16664666.528886711</v>
      </c>
      <c r="P29" s="9">
        <v>8551286.1173327621</v>
      </c>
      <c r="Q29" s="9">
        <v>203100.07554035669</v>
      </c>
      <c r="R29" s="9">
        <v>19775261.634726387</v>
      </c>
      <c r="S29" s="9">
        <v>9146376.0765828546</v>
      </c>
      <c r="T29" s="13">
        <f t="shared" si="1"/>
        <v>2.989997580899268</v>
      </c>
    </row>
    <row r="30" spans="1:20" ht="15.75" x14ac:dyDescent="0.25">
      <c r="A30" s="8">
        <f t="shared" si="2"/>
        <v>28</v>
      </c>
      <c r="B30" s="9">
        <v>792206</v>
      </c>
      <c r="C30" s="9">
        <v>10563750</v>
      </c>
      <c r="D30" s="9">
        <v>22159962</v>
      </c>
      <c r="E30" s="9">
        <v>10463750</v>
      </c>
      <c r="F30" s="9">
        <v>208170</v>
      </c>
      <c r="G30" s="9">
        <v>21367756</v>
      </c>
      <c r="H30" s="9">
        <v>10921264</v>
      </c>
      <c r="I30" s="11">
        <f t="shared" si="0"/>
        <v>2.7667081584741609</v>
      </c>
      <c r="L30" s="8">
        <f t="shared" si="3"/>
        <v>28</v>
      </c>
      <c r="M30" s="9">
        <v>792868.00485773815</v>
      </c>
      <c r="N30" s="9">
        <v>10702166.295723736</v>
      </c>
      <c r="O30" s="9">
        <v>20960221.247883834</v>
      </c>
      <c r="P30" s="9">
        <v>10786928.435584225</v>
      </c>
      <c r="Q30" s="9">
        <v>208194.35482557482</v>
      </c>
      <c r="R30" s="9">
        <v>21365331.346557058</v>
      </c>
      <c r="S30" s="9">
        <v>11028239.133868428</v>
      </c>
      <c r="T30" s="13">
        <f t="shared" si="1"/>
        <v>2.9900015000477498</v>
      </c>
    </row>
    <row r="31" spans="1:20" ht="15.75" x14ac:dyDescent="0.25">
      <c r="A31" s="8">
        <f t="shared" si="2"/>
        <v>29</v>
      </c>
      <c r="B31" s="9">
        <v>5640419</v>
      </c>
      <c r="C31" s="9">
        <v>5228828</v>
      </c>
      <c r="D31" s="9">
        <v>25743034</v>
      </c>
      <c r="E31" s="9">
        <v>5128828</v>
      </c>
      <c r="F31" s="9">
        <v>306697</v>
      </c>
      <c r="G31" s="9">
        <v>20102615</v>
      </c>
      <c r="H31" s="9">
        <v>6114153</v>
      </c>
      <c r="I31" s="11">
        <f t="shared" si="0"/>
        <v>1.4511764041326058</v>
      </c>
      <c r="L31" s="8">
        <f t="shared" si="3"/>
        <v>29</v>
      </c>
      <c r="M31" s="9">
        <v>6083370.5085940147</v>
      </c>
      <c r="N31" s="9">
        <v>5667474.5535191856</v>
      </c>
      <c r="O31" s="9">
        <v>14097486.786854461</v>
      </c>
      <c r="P31" s="9">
        <v>6139782.8486527624</v>
      </c>
      <c r="Q31" s="9">
        <v>307515.34267685359</v>
      </c>
      <c r="R31" s="9">
        <v>20050225.22853465</v>
      </c>
      <c r="S31" s="9">
        <v>6532476.7869746098</v>
      </c>
      <c r="T31" s="13">
        <f t="shared" si="1"/>
        <v>2.9899986670557466</v>
      </c>
    </row>
    <row r="32" spans="1:20" ht="15.75" x14ac:dyDescent="0.25">
      <c r="A32" s="8">
        <f t="shared" si="2"/>
        <v>30</v>
      </c>
      <c r="B32" s="9">
        <v>4210530</v>
      </c>
      <c r="C32" s="9">
        <v>8992874</v>
      </c>
      <c r="D32" s="9">
        <v>19122529</v>
      </c>
      <c r="E32" s="9">
        <v>8892874</v>
      </c>
      <c r="F32" s="9">
        <v>255600</v>
      </c>
      <c r="G32" s="9">
        <v>14911999</v>
      </c>
      <c r="H32" s="9">
        <v>9287741</v>
      </c>
      <c r="I32" s="11">
        <f t="shared" si="0"/>
        <v>2.9527612432662238</v>
      </c>
      <c r="L32" s="8">
        <f t="shared" si="3"/>
        <v>30</v>
      </c>
      <c r="M32" s="9">
        <v>4213930.0687814942</v>
      </c>
      <c r="N32" s="9">
        <v>9010815.1316460986</v>
      </c>
      <c r="O32" s="9">
        <v>18944345.196828056</v>
      </c>
      <c r="P32" s="9">
        <v>8934693.5498327632</v>
      </c>
      <c r="Q32" s="9">
        <v>255608.02797971552</v>
      </c>
      <c r="R32" s="9">
        <v>14911531.918482119</v>
      </c>
      <c r="S32" s="9">
        <v>9301697.61079368</v>
      </c>
      <c r="T32" s="13">
        <f t="shared" si="1"/>
        <v>2.9899995352114952</v>
      </c>
    </row>
    <row r="33" spans="1:20" ht="15.75" x14ac:dyDescent="0.25">
      <c r="A33" s="8">
        <f t="shared" si="2"/>
        <v>31</v>
      </c>
      <c r="B33" s="9">
        <v>-3225736</v>
      </c>
      <c r="C33" s="9">
        <v>4960797</v>
      </c>
      <c r="D33" s="9">
        <v>19580822</v>
      </c>
      <c r="E33" s="9">
        <v>4860797</v>
      </c>
      <c r="F33" s="9">
        <v>365350</v>
      </c>
      <c r="G33" s="9">
        <v>22806558</v>
      </c>
      <c r="H33" s="9">
        <v>5597803</v>
      </c>
      <c r="I33" s="11">
        <f t="shared" si="0"/>
        <v>1.2714110296843359</v>
      </c>
      <c r="L33" s="8">
        <f t="shared" si="3"/>
        <v>31</v>
      </c>
      <c r="M33" s="9">
        <v>0</v>
      </c>
      <c r="N33" s="9">
        <v>5454955.293755318</v>
      </c>
      <c r="O33" s="9">
        <v>11168079.485623173</v>
      </c>
      <c r="P33" s="9">
        <v>5944897.2033867966</v>
      </c>
      <c r="Q33" s="9">
        <v>366299.15044861141</v>
      </c>
      <c r="R33" s="9">
        <v>22745861.379538562</v>
      </c>
      <c r="S33" s="9">
        <v>6035578.9868371598</v>
      </c>
      <c r="T33" s="13">
        <f t="shared" si="1"/>
        <v>2.9899995878449732</v>
      </c>
    </row>
    <row r="34" spans="1:20" ht="15.75" x14ac:dyDescent="0.25">
      <c r="A34" s="8">
        <f t="shared" si="2"/>
        <v>32</v>
      </c>
      <c r="B34" s="9">
        <v>4819843</v>
      </c>
      <c r="C34" s="9">
        <v>6813112</v>
      </c>
      <c r="D34" s="9">
        <v>23154062</v>
      </c>
      <c r="E34" s="9">
        <v>6713112</v>
      </c>
      <c r="F34" s="9">
        <v>266841</v>
      </c>
      <c r="G34" s="9">
        <v>18334219</v>
      </c>
      <c r="H34" s="9">
        <v>7410181</v>
      </c>
      <c r="I34" s="11">
        <f t="shared" si="0"/>
        <v>1.9469759974911802</v>
      </c>
      <c r="L34" s="8">
        <f t="shared" si="3"/>
        <v>32</v>
      </c>
      <c r="M34" s="9">
        <v>4984283.3653274924</v>
      </c>
      <c r="N34" s="9">
        <v>7197687.0384366997</v>
      </c>
      <c r="O34" s="9">
        <v>16402355.723104512</v>
      </c>
      <c r="P34" s="9">
        <v>7608222.1083691148</v>
      </c>
      <c r="Q34" s="9">
        <v>267151.05662392854</v>
      </c>
      <c r="R34" s="9">
        <v>18313210.023072589</v>
      </c>
      <c r="S34" s="9">
        <v>7742171.6900196401</v>
      </c>
      <c r="T34" s="13">
        <f t="shared" si="1"/>
        <v>2.9899990812988282</v>
      </c>
    </row>
    <row r="35" spans="1:20" ht="15.75" x14ac:dyDescent="0.25">
      <c r="A35" s="8">
        <f t="shared" si="2"/>
        <v>33</v>
      </c>
      <c r="B35" s="9">
        <v>1524804</v>
      </c>
      <c r="C35" s="9">
        <v>5173541</v>
      </c>
      <c r="D35" s="9">
        <v>17658795</v>
      </c>
      <c r="E35" s="9">
        <v>5073541</v>
      </c>
      <c r="F35" s="9">
        <v>449026</v>
      </c>
      <c r="G35" s="9">
        <v>16133991</v>
      </c>
      <c r="H35" s="9">
        <v>5878212</v>
      </c>
      <c r="I35" s="11">
        <f t="shared" si="0"/>
        <v>1.811143808876218</v>
      </c>
      <c r="L35" s="8">
        <f t="shared" si="3"/>
        <v>33</v>
      </c>
      <c r="M35" s="9">
        <v>1551123.392187875</v>
      </c>
      <c r="N35" s="9">
        <v>5535580.0318363328</v>
      </c>
      <c r="O35" s="9">
        <v>11832412.152332067</v>
      </c>
      <c r="P35" s="9">
        <v>5868184.215488011</v>
      </c>
      <c r="Q35" s="9">
        <v>450207.53226380877</v>
      </c>
      <c r="R35" s="9">
        <v>16092142.229126299</v>
      </c>
      <c r="S35" s="9">
        <v>6210331.4773553759</v>
      </c>
      <c r="T35" s="13">
        <f t="shared" si="1"/>
        <v>2.9899997250661579</v>
      </c>
    </row>
    <row r="36" spans="1:20" ht="15.75" x14ac:dyDescent="0.25">
      <c r="A36" s="8">
        <f t="shared" si="2"/>
        <v>34</v>
      </c>
      <c r="B36" s="9">
        <v>-1946723</v>
      </c>
      <c r="C36" s="9">
        <v>6728620</v>
      </c>
      <c r="D36" s="9">
        <v>15406364</v>
      </c>
      <c r="E36" s="9">
        <v>6628620</v>
      </c>
      <c r="F36" s="9">
        <v>228340</v>
      </c>
      <c r="G36" s="9">
        <v>17353087</v>
      </c>
      <c r="H36" s="9">
        <v>6896293</v>
      </c>
      <c r="I36" s="11">
        <f t="shared" si="0"/>
        <v>2.334715547893206</v>
      </c>
      <c r="L36" s="8">
        <f t="shared" si="3"/>
        <v>34</v>
      </c>
      <c r="M36" s="9">
        <v>0</v>
      </c>
      <c r="N36" s="9">
        <v>6935109.0854073009</v>
      </c>
      <c r="O36" s="9">
        <v>13484376.713548116</v>
      </c>
      <c r="P36" s="9">
        <v>7108110.5962754842</v>
      </c>
      <c r="Q36" s="9">
        <v>228429.49194099888</v>
      </c>
      <c r="R36" s="9">
        <v>17346372.032154579</v>
      </c>
      <c r="S36" s="9">
        <v>7052902.6486317012</v>
      </c>
      <c r="T36" s="13">
        <f t="shared" si="1"/>
        <v>2.9900016903900144</v>
      </c>
    </row>
    <row r="37" spans="1:20" ht="15.75" x14ac:dyDescent="0.25">
      <c r="A37" s="8">
        <f t="shared" si="2"/>
        <v>35</v>
      </c>
      <c r="B37" s="9">
        <v>1153126</v>
      </c>
      <c r="C37" s="9">
        <v>3656309</v>
      </c>
      <c r="D37" s="9">
        <v>22435472</v>
      </c>
      <c r="E37" s="9">
        <v>3556309</v>
      </c>
      <c r="F37" s="9">
        <v>370975</v>
      </c>
      <c r="G37" s="9">
        <v>21282346</v>
      </c>
      <c r="H37" s="9">
        <v>4634339</v>
      </c>
      <c r="I37" s="11">
        <f t="shared" si="0"/>
        <v>1.0297422458274885</v>
      </c>
      <c r="L37" s="8">
        <f t="shared" si="3"/>
        <v>35</v>
      </c>
      <c r="M37" s="9">
        <v>1187191.7424771681</v>
      </c>
      <c r="N37" s="9">
        <v>4063026.7757311678</v>
      </c>
      <c r="O37" s="9">
        <v>9032851.6432277653</v>
      </c>
      <c r="P37" s="9">
        <v>4452237.002441003</v>
      </c>
      <c r="Q37" s="9">
        <v>372737.71245807013</v>
      </c>
      <c r="R37" s="9">
        <v>21183408.976240311</v>
      </c>
      <c r="S37" s="9">
        <v>5112723.1531740548</v>
      </c>
      <c r="T37" s="13">
        <f t="shared" si="1"/>
        <v>2.9899995871565355</v>
      </c>
    </row>
    <row r="38" spans="1:20" ht="15.75" x14ac:dyDescent="0.25">
      <c r="A38" s="8">
        <f t="shared" si="2"/>
        <v>36</v>
      </c>
      <c r="B38" s="9">
        <v>2101397</v>
      </c>
      <c r="C38" s="9">
        <v>8502703</v>
      </c>
      <c r="D38" s="9">
        <v>20815120</v>
      </c>
      <c r="E38" s="9">
        <v>8402703</v>
      </c>
      <c r="F38" s="9">
        <v>309383</v>
      </c>
      <c r="G38" s="9">
        <v>18713723</v>
      </c>
      <c r="H38" s="9">
        <v>9212010</v>
      </c>
      <c r="I38" s="11">
        <f t="shared" si="0"/>
        <v>2.4772210286075791</v>
      </c>
      <c r="L38" s="8">
        <f t="shared" si="3"/>
        <v>36</v>
      </c>
      <c r="M38" s="9">
        <v>2115147.6944711837</v>
      </c>
      <c r="N38" s="9">
        <v>8762348.2015820835</v>
      </c>
      <c r="O38" s="9">
        <v>18047567.289999284</v>
      </c>
      <c r="P38" s="9">
        <v>9007525.850130016</v>
      </c>
      <c r="Q38" s="9">
        <v>309548.57423778251</v>
      </c>
      <c r="R38" s="9">
        <v>18704185.943119686</v>
      </c>
      <c r="S38" s="9">
        <v>9424549.0481848661</v>
      </c>
      <c r="T38" s="13">
        <f t="shared" si="1"/>
        <v>2.9989987455458418</v>
      </c>
    </row>
    <row r="39" spans="1:20" ht="15.75" x14ac:dyDescent="0.25">
      <c r="A39" s="8">
        <f t="shared" si="2"/>
        <v>37</v>
      </c>
      <c r="B39" s="9">
        <v>-12405719</v>
      </c>
      <c r="C39" s="9">
        <v>749472</v>
      </c>
      <c r="D39" s="9">
        <v>11625342</v>
      </c>
      <c r="E39" s="9">
        <v>649472</v>
      </c>
      <c r="F39" s="9">
        <v>485882</v>
      </c>
      <c r="G39" s="9">
        <v>24031061</v>
      </c>
      <c r="H39" s="9">
        <v>1704025</v>
      </c>
      <c r="I39" s="11">
        <f t="shared" si="0"/>
        <v>-0.84737226072129035</v>
      </c>
      <c r="L39" s="8">
        <f t="shared" si="3"/>
        <v>37</v>
      </c>
      <c r="M39" s="9">
        <v>12089862.228997683</v>
      </c>
      <c r="N39" s="9">
        <v>666398.11419998005</v>
      </c>
      <c r="O39" s="9">
        <v>6926665.8121864423</v>
      </c>
      <c r="P39" s="9">
        <v>740941.51897949865</v>
      </c>
      <c r="Q39" s="9">
        <v>487387.0874252416</v>
      </c>
      <c r="R39" s="9">
        <v>25298403.659425706</v>
      </c>
      <c r="S39" s="9">
        <v>2809912.2213720796</v>
      </c>
      <c r="T39" s="13">
        <f t="shared" si="1"/>
        <v>2.9989996033648572</v>
      </c>
    </row>
    <row r="40" spans="1:20" ht="15.75" x14ac:dyDescent="0.25">
      <c r="A40" s="8">
        <f t="shared" si="2"/>
        <v>38</v>
      </c>
      <c r="B40" s="9">
        <v>4585375</v>
      </c>
      <c r="C40" s="9">
        <v>3051865</v>
      </c>
      <c r="D40" s="9">
        <v>16049610</v>
      </c>
      <c r="E40" s="9">
        <v>2951865</v>
      </c>
      <c r="F40" s="9">
        <v>461580</v>
      </c>
      <c r="G40" s="9">
        <v>11464235</v>
      </c>
      <c r="H40" s="9">
        <v>3695361</v>
      </c>
      <c r="I40" s="11">
        <f t="shared" si="0"/>
        <v>1.4701666042188455</v>
      </c>
      <c r="L40" s="8">
        <f t="shared" si="3"/>
        <v>38</v>
      </c>
      <c r="M40" s="9">
        <v>5043575.3941683853</v>
      </c>
      <c r="N40" s="9">
        <v>3289006.6639222368</v>
      </c>
      <c r="O40" s="9">
        <v>8782784.454789212</v>
      </c>
      <c r="P40" s="9">
        <v>3490918.3256606013</v>
      </c>
      <c r="Q40" s="9">
        <v>464854.07937655284</v>
      </c>
      <c r="R40" s="9">
        <v>11383844.717465499</v>
      </c>
      <c r="S40" s="9">
        <v>3951411.9952640766</v>
      </c>
      <c r="T40" s="13">
        <f t="shared" si="1"/>
        <v>2.9990007085310451</v>
      </c>
    </row>
    <row r="41" spans="1:20" ht="15.75" x14ac:dyDescent="0.25">
      <c r="A41" s="8">
        <f t="shared" si="2"/>
        <v>39</v>
      </c>
      <c r="B41" s="9">
        <v>8695609</v>
      </c>
      <c r="C41" s="9">
        <v>5934684</v>
      </c>
      <c r="D41" s="9">
        <v>21803518</v>
      </c>
      <c r="E41" s="9">
        <v>5834684</v>
      </c>
      <c r="F41" s="9">
        <v>478604</v>
      </c>
      <c r="G41" s="9">
        <v>13107909</v>
      </c>
      <c r="H41" s="9">
        <v>6794410</v>
      </c>
      <c r="I41" s="11">
        <f t="shared" si="0"/>
        <v>2.0759504603947008</v>
      </c>
      <c r="L41" s="8">
        <f t="shared" si="3"/>
        <v>39</v>
      </c>
      <c r="M41" s="9">
        <v>9180692.6376776267</v>
      </c>
      <c r="N41" s="9">
        <v>6204629.185051878</v>
      </c>
      <c r="O41" s="9">
        <v>16116673.115024535</v>
      </c>
      <c r="P41" s="9">
        <v>6436390.8304417273</v>
      </c>
      <c r="Q41" s="9">
        <v>479814.68065263581</v>
      </c>
      <c r="R41" s="9">
        <v>13075384.019018788</v>
      </c>
      <c r="S41" s="9">
        <v>7042669.6658075517</v>
      </c>
      <c r="T41" s="13">
        <f t="shared" si="1"/>
        <v>2.9989986198134235</v>
      </c>
    </row>
    <row r="42" spans="1:20" ht="15.75" x14ac:dyDescent="0.25">
      <c r="A42" s="8">
        <f t="shared" si="2"/>
        <v>40</v>
      </c>
      <c r="B42" s="9">
        <v>11842621</v>
      </c>
      <c r="C42" s="9">
        <v>5946111</v>
      </c>
      <c r="D42" s="9">
        <v>23514900</v>
      </c>
      <c r="E42" s="9">
        <v>5846111</v>
      </c>
      <c r="F42" s="9">
        <v>445298</v>
      </c>
      <c r="G42" s="9">
        <v>11672279</v>
      </c>
      <c r="H42" s="9">
        <v>6142666</v>
      </c>
      <c r="I42" s="11">
        <f t="shared" si="0"/>
        <v>2.0626346260137094</v>
      </c>
      <c r="L42" s="8">
        <f t="shared" si="3"/>
        <v>40</v>
      </c>
      <c r="M42" s="9">
        <v>12717294.564456621</v>
      </c>
      <c r="N42" s="9">
        <v>6202920.6880845474</v>
      </c>
      <c r="O42" s="9">
        <v>17285776.065778591</v>
      </c>
      <c r="P42" s="9">
        <v>6414232.7089024102</v>
      </c>
      <c r="Q42" s="9">
        <v>446454.57391454314</v>
      </c>
      <c r="R42" s="9">
        <v>11641844.398606706</v>
      </c>
      <c r="S42" s="9">
        <v>6336850.2572592953</v>
      </c>
      <c r="T42" s="13">
        <f t="shared" si="1"/>
        <v>2.999001043313327</v>
      </c>
    </row>
    <row r="43" spans="1:20" ht="15.75" x14ac:dyDescent="0.25">
      <c r="A43" s="8">
        <f t="shared" si="2"/>
        <v>41</v>
      </c>
      <c r="B43" s="9">
        <v>4948429</v>
      </c>
      <c r="C43" s="9">
        <v>6452618</v>
      </c>
      <c r="D43" s="9">
        <v>23486157</v>
      </c>
      <c r="E43" s="9">
        <v>6352618</v>
      </c>
      <c r="F43" s="9">
        <v>323819</v>
      </c>
      <c r="G43" s="9">
        <v>18537728</v>
      </c>
      <c r="H43" s="9">
        <v>6902284</v>
      </c>
      <c r="I43" s="11">
        <f t="shared" si="0"/>
        <v>1.8341424759024119</v>
      </c>
      <c r="L43" s="8">
        <f t="shared" si="3"/>
        <v>41</v>
      </c>
      <c r="M43" s="9">
        <v>5149589.0983864069</v>
      </c>
      <c r="N43" s="9">
        <v>6849483.7503410131</v>
      </c>
      <c r="O43" s="9">
        <v>15701758.567975083</v>
      </c>
      <c r="P43" s="9">
        <v>7252689.1621343633</v>
      </c>
      <c r="Q43" s="9">
        <v>324323.55383451842</v>
      </c>
      <c r="R43" s="9">
        <v>18508248.816413999</v>
      </c>
      <c r="S43" s="9">
        <v>7229051.9337175516</v>
      </c>
      <c r="T43" s="13">
        <f t="shared" si="1"/>
        <v>2.9989995388437394</v>
      </c>
    </row>
    <row r="44" spans="1:20" ht="15.75" x14ac:dyDescent="0.25">
      <c r="A44" s="8">
        <f t="shared" si="2"/>
        <v>42</v>
      </c>
      <c r="B44" s="9">
        <v>-1437436</v>
      </c>
      <c r="C44" s="9">
        <v>9825695</v>
      </c>
      <c r="D44" s="9">
        <v>23468782</v>
      </c>
      <c r="E44" s="9">
        <v>9725695</v>
      </c>
      <c r="F44" s="9">
        <v>182774</v>
      </c>
      <c r="G44" s="9">
        <v>24906218</v>
      </c>
      <c r="H44" s="9">
        <v>9941860</v>
      </c>
      <c r="I44" s="11">
        <f t="shared" si="0"/>
        <v>2.3077932495717843</v>
      </c>
      <c r="L44" s="8">
        <f t="shared" si="3"/>
        <v>42</v>
      </c>
      <c r="M44" s="9">
        <v>0</v>
      </c>
      <c r="N44" s="9">
        <v>10196636.92744465</v>
      </c>
      <c r="O44" s="9">
        <v>19807314.416365921</v>
      </c>
      <c r="P44" s="9">
        <v>10557510.924672814</v>
      </c>
      <c r="Q44" s="9">
        <v>182822.64685640196</v>
      </c>
      <c r="R44" s="9">
        <v>24899448.60360501</v>
      </c>
      <c r="S44" s="9">
        <v>10209996.00810276</v>
      </c>
      <c r="T44" s="13">
        <f t="shared" si="1"/>
        <v>2.9989994848875132</v>
      </c>
    </row>
    <row r="45" spans="1:20" ht="15.75" x14ac:dyDescent="0.25">
      <c r="A45" s="8">
        <f t="shared" si="2"/>
        <v>43</v>
      </c>
      <c r="B45" s="9">
        <v>2658190</v>
      </c>
      <c r="C45" s="9">
        <v>5882746</v>
      </c>
      <c r="D45" s="9">
        <v>24548838</v>
      </c>
      <c r="E45" s="9">
        <v>5782746</v>
      </c>
      <c r="F45" s="9">
        <v>189074</v>
      </c>
      <c r="G45" s="9">
        <v>21890648</v>
      </c>
      <c r="H45" s="9">
        <v>6665520</v>
      </c>
      <c r="I45" s="11">
        <f t="shared" si="0"/>
        <v>1.5192087168496207</v>
      </c>
      <c r="L45" s="8">
        <f t="shared" si="3"/>
        <v>43</v>
      </c>
      <c r="M45" s="9">
        <v>2749300.8705780776</v>
      </c>
      <c r="N45" s="9">
        <v>6420026.1368182609</v>
      </c>
      <c r="O45" s="9">
        <v>14181962.528393602</v>
      </c>
      <c r="P45" s="9">
        <v>6976854.7673134599</v>
      </c>
      <c r="Q45" s="9">
        <v>189330.83442327924</v>
      </c>
      <c r="R45" s="9">
        <v>21860532.960661467</v>
      </c>
      <c r="S45" s="9">
        <v>7154338.5101377992</v>
      </c>
      <c r="T45" s="13">
        <f t="shared" si="1"/>
        <v>2.9989994819084633</v>
      </c>
    </row>
    <row r="46" spans="1:20" ht="15.75" x14ac:dyDescent="0.25">
      <c r="A46" s="8">
        <f t="shared" si="2"/>
        <v>44</v>
      </c>
      <c r="B46" s="9">
        <v>-3924307</v>
      </c>
      <c r="C46" s="9">
        <v>2011386</v>
      </c>
      <c r="D46" s="9">
        <v>20764602</v>
      </c>
      <c r="E46" s="9">
        <v>1911386</v>
      </c>
      <c r="F46" s="9">
        <v>231851</v>
      </c>
      <c r="G46" s="9">
        <v>24688909</v>
      </c>
      <c r="H46" s="9">
        <v>2140499</v>
      </c>
      <c r="I46" s="11">
        <f t="shared" si="0"/>
        <v>0.32120544608455637</v>
      </c>
      <c r="L46" s="8">
        <f t="shared" si="3"/>
        <v>44</v>
      </c>
      <c r="M46" s="9">
        <v>2365492.1898970581</v>
      </c>
      <c r="N46" s="9">
        <v>240487.92692419956</v>
      </c>
      <c r="O46" s="9">
        <v>5285277.400538858</v>
      </c>
      <c r="P46" s="9">
        <v>2796967.7223014766</v>
      </c>
      <c r="Q46" s="9">
        <v>230763.20451956475</v>
      </c>
      <c r="R46" s="9">
        <v>29501206.485263992</v>
      </c>
      <c r="S46" s="9">
        <v>3423897.8356862133</v>
      </c>
      <c r="T46" s="13">
        <f t="shared" si="1"/>
        <v>2.9989998812657017</v>
      </c>
    </row>
    <row r="47" spans="1:20" ht="15.75" x14ac:dyDescent="0.25">
      <c r="A47" s="8">
        <f t="shared" si="2"/>
        <v>45</v>
      </c>
      <c r="B47" s="9">
        <v>3215388</v>
      </c>
      <c r="C47" s="9">
        <v>10563993</v>
      </c>
      <c r="D47" s="9">
        <v>22907859</v>
      </c>
      <c r="E47" s="9">
        <v>10463993</v>
      </c>
      <c r="F47" s="9">
        <v>160618</v>
      </c>
      <c r="G47" s="9">
        <v>19692471</v>
      </c>
      <c r="H47" s="9">
        <v>11242611</v>
      </c>
      <c r="I47" s="11">
        <f t="shared" si="0"/>
        <v>2.8166187203413471</v>
      </c>
      <c r="L47" s="8">
        <f t="shared" si="3"/>
        <v>45</v>
      </c>
      <c r="M47" s="9">
        <v>3224428.718690888</v>
      </c>
      <c r="N47" s="9">
        <v>10675949.782247854</v>
      </c>
      <c r="O47" s="9">
        <v>21886251.316696476</v>
      </c>
      <c r="P47" s="9">
        <v>10725393.045073858</v>
      </c>
      <c r="Q47" s="9">
        <v>160631.26001542091</v>
      </c>
      <c r="R47" s="9">
        <v>19690935.366999671</v>
      </c>
      <c r="S47" s="9">
        <v>11331680.768428853</v>
      </c>
      <c r="T47" s="13">
        <f t="shared" si="1"/>
        <v>2.9990020500894126</v>
      </c>
    </row>
    <row r="48" spans="1:20" ht="15.75" x14ac:dyDescent="0.25">
      <c r="A48" s="8">
        <f t="shared" si="2"/>
        <v>46</v>
      </c>
      <c r="B48" s="9">
        <v>-5527357</v>
      </c>
      <c r="C48" s="9">
        <v>2634310</v>
      </c>
      <c r="D48" s="9">
        <v>17167143</v>
      </c>
      <c r="E48" s="9">
        <v>2534310</v>
      </c>
      <c r="F48" s="9">
        <v>225513</v>
      </c>
      <c r="G48" s="9">
        <v>22694500</v>
      </c>
      <c r="H48" s="9">
        <v>3438036</v>
      </c>
      <c r="I48" s="11">
        <f t="shared" si="0"/>
        <v>0.52165808653695744</v>
      </c>
      <c r="L48" s="8">
        <f t="shared" si="3"/>
        <v>46</v>
      </c>
      <c r="M48" s="9">
        <v>2309434.8816966396</v>
      </c>
      <c r="N48" s="9">
        <v>1373404.2952653135</v>
      </c>
      <c r="O48" s="9">
        <v>6930666.404358197</v>
      </c>
      <c r="P48" s="9">
        <v>3394432.1868792847</v>
      </c>
      <c r="Q48" s="9">
        <v>225331.50894981192</v>
      </c>
      <c r="R48" s="9">
        <v>25862140.334438726</v>
      </c>
      <c r="S48" s="9">
        <v>4857980.0447741728</v>
      </c>
      <c r="T48" s="13">
        <f t="shared" si="1"/>
        <v>2.998999833493218</v>
      </c>
    </row>
    <row r="49" spans="1:20" ht="15.75" x14ac:dyDescent="0.25">
      <c r="A49" s="8">
        <f t="shared" si="2"/>
        <v>47</v>
      </c>
      <c r="B49" s="9">
        <v>8428979</v>
      </c>
      <c r="C49" s="9">
        <v>5310524</v>
      </c>
      <c r="D49" s="9">
        <v>18437602</v>
      </c>
      <c r="E49" s="9">
        <v>5210524</v>
      </c>
      <c r="F49" s="9">
        <v>184084</v>
      </c>
      <c r="G49" s="9">
        <v>10008623</v>
      </c>
      <c r="H49" s="9">
        <v>5946934</v>
      </c>
      <c r="I49" s="11">
        <f t="shared" si="0"/>
        <v>2.2176795695351146</v>
      </c>
      <c r="L49" s="8">
        <f t="shared" si="3"/>
        <v>47</v>
      </c>
      <c r="M49" s="9">
        <v>8884111.2034931723</v>
      </c>
      <c r="N49" s="9">
        <v>5517222.097828445</v>
      </c>
      <c r="O49" s="9">
        <v>14487914.538204728</v>
      </c>
      <c r="P49" s="9">
        <v>5689092.8522705268</v>
      </c>
      <c r="Q49" s="9">
        <v>184284.19278094239</v>
      </c>
      <c r="R49" s="9">
        <v>9997944.7318893988</v>
      </c>
      <c r="S49" s="9">
        <v>6136118.0981038604</v>
      </c>
      <c r="T49" s="13">
        <f t="shared" si="1"/>
        <v>2.9990001547645528</v>
      </c>
    </row>
    <row r="50" spans="1:20" ht="15.75" x14ac:dyDescent="0.25">
      <c r="A50" s="8">
        <f t="shared" si="2"/>
        <v>48</v>
      </c>
      <c r="B50" s="9">
        <v>8631307</v>
      </c>
      <c r="C50" s="9">
        <v>4043264</v>
      </c>
      <c r="D50" s="9">
        <v>20863713</v>
      </c>
      <c r="E50" s="9">
        <v>3943264</v>
      </c>
      <c r="F50" s="9">
        <v>216505</v>
      </c>
      <c r="G50" s="9">
        <v>12232406</v>
      </c>
      <c r="H50" s="9">
        <v>5041157</v>
      </c>
      <c r="I50" s="11">
        <f t="shared" si="0"/>
        <v>1.643455818294256</v>
      </c>
      <c r="L50" s="8">
        <f t="shared" si="3"/>
        <v>48</v>
      </c>
      <c r="M50" s="9">
        <v>9512170.4096310269</v>
      </c>
      <c r="N50" s="9">
        <v>4270079.8624065956</v>
      </c>
      <c r="O50" s="9">
        <v>12510576.108226193</v>
      </c>
      <c r="P50" s="9">
        <v>4455873.4482946489</v>
      </c>
      <c r="Q50" s="9">
        <v>216936.82194146077</v>
      </c>
      <c r="R50" s="9">
        <v>12208486.278512085</v>
      </c>
      <c r="S50" s="9">
        <v>5294050.2785324762</v>
      </c>
      <c r="T50" s="13">
        <f t="shared" si="1"/>
        <v>2.9990016336303151</v>
      </c>
    </row>
    <row r="51" spans="1:20" ht="15.75" x14ac:dyDescent="0.25">
      <c r="A51" s="8">
        <f t="shared" si="2"/>
        <v>49</v>
      </c>
      <c r="B51" s="9">
        <v>-6873012</v>
      </c>
      <c r="C51" s="9">
        <v>1468236</v>
      </c>
      <c r="D51" s="9">
        <v>16714157</v>
      </c>
      <c r="E51" s="9">
        <v>1368236</v>
      </c>
      <c r="F51" s="9">
        <v>103916</v>
      </c>
      <c r="G51" s="9">
        <v>23587169</v>
      </c>
      <c r="H51" s="9">
        <v>1876747</v>
      </c>
      <c r="I51" s="11">
        <f t="shared" si="0"/>
        <v>1.4487523689651362E-2</v>
      </c>
      <c r="L51" s="8">
        <f t="shared" si="3"/>
        <v>49</v>
      </c>
      <c r="M51" s="9">
        <v>5996740.6372705363</v>
      </c>
      <c r="N51" s="9">
        <v>250762.62861782446</v>
      </c>
      <c r="O51" s="9">
        <v>5884144.2028082814</v>
      </c>
      <c r="P51" s="9">
        <v>1852303.2761724819</v>
      </c>
      <c r="Q51" s="9">
        <v>103660.3488663907</v>
      </c>
      <c r="R51" s="9">
        <v>28746550.766181022</v>
      </c>
      <c r="S51" s="9">
        <v>3978038.0688978578</v>
      </c>
      <c r="T51" s="13">
        <f>Score_Altman(M51,N51,O51,P51,Q51,R51,S51)</f>
        <v>2.9990000128909835</v>
      </c>
    </row>
    <row r="52" spans="1:20" ht="15.75" x14ac:dyDescent="0.25">
      <c r="A52" s="8">
        <f t="shared" si="2"/>
        <v>50</v>
      </c>
      <c r="B52" s="9">
        <v>-225852</v>
      </c>
      <c r="C52" s="9">
        <v>1566182</v>
      </c>
      <c r="D52" s="9">
        <v>19721372</v>
      </c>
      <c r="E52" s="9">
        <v>1466182</v>
      </c>
      <c r="F52" s="9">
        <v>478732</v>
      </c>
      <c r="G52" s="9">
        <v>19947224</v>
      </c>
      <c r="H52" s="9">
        <v>2268761</v>
      </c>
      <c r="I52" s="11">
        <f t="shared" si="0"/>
        <v>0.47210265997456147</v>
      </c>
      <c r="L52" s="8">
        <f t="shared" si="3"/>
        <v>50</v>
      </c>
      <c r="M52" s="9">
        <v>0</v>
      </c>
      <c r="N52" s="9">
        <v>1824587.6711682284</v>
      </c>
      <c r="O52" s="15">
        <v>0</v>
      </c>
      <c r="P52" s="9">
        <v>1998441.95275466</v>
      </c>
      <c r="Q52" s="9">
        <v>487324.72716770781</v>
      </c>
      <c r="R52" s="9">
        <v>19588207.547396924</v>
      </c>
      <c r="S52" s="9">
        <v>2655704.5997959916</v>
      </c>
      <c r="T52" s="13" t="e">
        <f>Score_Altman(M52,N52,O52,P52,Q52,R52,S52)</f>
        <v>#VALUE!</v>
      </c>
    </row>
    <row r="53" spans="1:20" ht="15.75" x14ac:dyDescent="0.25">
      <c r="A53" s="8">
        <f t="shared" si="2"/>
        <v>51</v>
      </c>
      <c r="B53" s="9">
        <v>-2952448</v>
      </c>
      <c r="C53" s="9">
        <v>6526653</v>
      </c>
      <c r="D53" s="9">
        <v>17329098</v>
      </c>
      <c r="E53" s="9">
        <v>6426653</v>
      </c>
      <c r="F53" s="9">
        <v>295961</v>
      </c>
      <c r="G53" s="9">
        <v>20281546</v>
      </c>
      <c r="H53" s="9">
        <v>7420602</v>
      </c>
      <c r="I53" s="11">
        <f t="shared" si="0"/>
        <v>1.9832099234295399</v>
      </c>
      <c r="L53" s="8">
        <f t="shared" si="3"/>
        <v>51</v>
      </c>
      <c r="M53" s="9">
        <v>0</v>
      </c>
      <c r="N53" s="9">
        <v>6855942.2115982091</v>
      </c>
      <c r="O53" s="9">
        <v>13728128.130171282</v>
      </c>
      <c r="P53" s="9">
        <v>7191056.771063732</v>
      </c>
      <c r="Q53" s="9">
        <v>296209.56022435764</v>
      </c>
      <c r="R53" s="9">
        <v>20264800.040514596</v>
      </c>
      <c r="S53" s="9">
        <v>7729161.9297641208</v>
      </c>
      <c r="T53" s="13">
        <f t="shared" si="1"/>
        <v>2.9989986800793154</v>
      </c>
    </row>
    <row r="54" spans="1:20" ht="15.75" x14ac:dyDescent="0.25">
      <c r="A54" s="8">
        <f t="shared" si="2"/>
        <v>52</v>
      </c>
      <c r="B54" s="9">
        <v>1543361</v>
      </c>
      <c r="C54" s="9">
        <v>6638859</v>
      </c>
      <c r="D54" s="9">
        <v>21352018</v>
      </c>
      <c r="E54" s="9">
        <v>6538859</v>
      </c>
      <c r="F54" s="9">
        <v>223577</v>
      </c>
      <c r="G54" s="9">
        <v>19808657</v>
      </c>
      <c r="H54" s="9">
        <v>7089111</v>
      </c>
      <c r="I54" s="11">
        <f t="shared" si="0"/>
        <v>1.8710779651298028</v>
      </c>
      <c r="L54" s="8">
        <f t="shared" si="3"/>
        <v>52</v>
      </c>
      <c r="M54" s="9">
        <v>1564090.091992741</v>
      </c>
      <c r="N54" s="9">
        <v>7085827.3777364288</v>
      </c>
      <c r="O54" s="9">
        <v>14744829.665792149</v>
      </c>
      <c r="P54" s="9">
        <v>7540466.8990855766</v>
      </c>
      <c r="Q54" s="9">
        <v>223796.6207749001</v>
      </c>
      <c r="R54" s="9">
        <v>19789094.331372425</v>
      </c>
      <c r="S54" s="9">
        <v>7446507.1631567096</v>
      </c>
      <c r="T54" s="13">
        <f t="shared" si="1"/>
        <v>2.9989981979943354</v>
      </c>
    </row>
    <row r="55" spans="1:20" ht="15.75" x14ac:dyDescent="0.25">
      <c r="A55" s="8">
        <f t="shared" si="2"/>
        <v>53</v>
      </c>
      <c r="B55" s="9">
        <v>-5243746</v>
      </c>
      <c r="C55" s="9">
        <v>9332375</v>
      </c>
      <c r="D55" s="9">
        <v>19695101</v>
      </c>
      <c r="E55" s="9">
        <v>9232375</v>
      </c>
      <c r="F55" s="9">
        <v>494116</v>
      </c>
      <c r="G55" s="9">
        <v>24938847</v>
      </c>
      <c r="H55" s="9">
        <v>9470754</v>
      </c>
      <c r="I55" s="11">
        <f t="shared" si="0"/>
        <v>2.3830842793352702</v>
      </c>
      <c r="L55" s="8">
        <f t="shared" si="3"/>
        <v>53</v>
      </c>
      <c r="M55" s="9">
        <v>0</v>
      </c>
      <c r="N55" s="9">
        <v>9499550.3215145282</v>
      </c>
      <c r="O55" s="9">
        <v>18267589.32893312</v>
      </c>
      <c r="P55" s="9">
        <v>9601691.096910974</v>
      </c>
      <c r="Q55" s="9">
        <v>494273.67409029877</v>
      </c>
      <c r="R55" s="9">
        <v>24931278.658730142</v>
      </c>
      <c r="S55" s="9">
        <v>9591814.3758940026</v>
      </c>
      <c r="T55" s="13">
        <f t="shared" si="1"/>
        <v>2.9989982449494326</v>
      </c>
    </row>
    <row r="56" spans="1:20" ht="15.75" x14ac:dyDescent="0.25">
      <c r="A56" s="8">
        <f t="shared" si="2"/>
        <v>54</v>
      </c>
      <c r="B56" s="9">
        <v>-10634262</v>
      </c>
      <c r="C56" s="9">
        <v>6572345</v>
      </c>
      <c r="D56" s="9">
        <v>12962398</v>
      </c>
      <c r="E56" s="9">
        <v>6472345</v>
      </c>
      <c r="F56" s="9">
        <v>274535</v>
      </c>
      <c r="G56" s="9">
        <v>23596660</v>
      </c>
      <c r="H56" s="9">
        <v>7083771</v>
      </c>
      <c r="I56" s="11">
        <f t="shared" si="0"/>
        <v>1.9260387490340214</v>
      </c>
      <c r="L56" s="8">
        <f t="shared" si="3"/>
        <v>54</v>
      </c>
      <c r="M56" s="9">
        <v>70175.086151260883</v>
      </c>
      <c r="N56" s="9">
        <v>6603272.7787994081</v>
      </c>
      <c r="O56" s="9">
        <v>12709386.007389588</v>
      </c>
      <c r="P56" s="9">
        <v>6544136.9803472515</v>
      </c>
      <c r="Q56" s="9">
        <v>274548.16022482223</v>
      </c>
      <c r="R56" s="9">
        <v>23595536.99639326</v>
      </c>
      <c r="S56" s="9">
        <v>7109387.217934615</v>
      </c>
      <c r="T56" s="13">
        <f t="shared" si="1"/>
        <v>2.9990001716049259</v>
      </c>
    </row>
    <row r="57" spans="1:20" ht="15.75" x14ac:dyDescent="0.25">
      <c r="A57" s="8">
        <f t="shared" si="2"/>
        <v>55</v>
      </c>
      <c r="B57" s="9">
        <v>-1273462</v>
      </c>
      <c r="C57" s="9">
        <v>2532301</v>
      </c>
      <c r="D57" s="9">
        <v>14262889</v>
      </c>
      <c r="E57" s="9">
        <v>2432301</v>
      </c>
      <c r="F57" s="9">
        <v>302741</v>
      </c>
      <c r="G57" s="9">
        <v>15536351</v>
      </c>
      <c r="H57" s="9">
        <v>3461521</v>
      </c>
      <c r="I57" s="11">
        <f t="shared" si="0"/>
        <v>0.95832447319648262</v>
      </c>
      <c r="L57" s="8">
        <f t="shared" si="3"/>
        <v>55</v>
      </c>
      <c r="M57" s="9">
        <v>0</v>
      </c>
      <c r="N57" s="9">
        <v>2816361.1583367982</v>
      </c>
      <c r="O57" s="9">
        <v>5965637.1846018434</v>
      </c>
      <c r="P57" s="9">
        <v>3040931.531312352</v>
      </c>
      <c r="Q57" s="9">
        <v>304197.86555794295</v>
      </c>
      <c r="R57" s="9">
        <v>15460459.480178712</v>
      </c>
      <c r="S57" s="9">
        <v>3846385.0272823116</v>
      </c>
      <c r="T57" s="13">
        <f t="shared" si="1"/>
        <v>2.999000064738822</v>
      </c>
    </row>
    <row r="58" spans="1:20" ht="15.75" x14ac:dyDescent="0.25">
      <c r="A58" s="8">
        <f t="shared" si="2"/>
        <v>56</v>
      </c>
      <c r="B58" s="9">
        <v>-2703333</v>
      </c>
      <c r="C58" s="9">
        <v>5781080</v>
      </c>
      <c r="D58" s="9">
        <v>13847753</v>
      </c>
      <c r="E58" s="9">
        <v>5681080</v>
      </c>
      <c r="F58" s="9">
        <v>144752</v>
      </c>
      <c r="G58" s="9">
        <v>16551086</v>
      </c>
      <c r="H58" s="9">
        <v>5983331</v>
      </c>
      <c r="I58" s="11">
        <f t="shared" si="0"/>
        <v>2.1409314298837483</v>
      </c>
      <c r="L58" s="8">
        <f t="shared" si="3"/>
        <v>56</v>
      </c>
      <c r="M58" s="9">
        <v>0</v>
      </c>
      <c r="N58" s="9">
        <v>5992900.0972150154</v>
      </c>
      <c r="O58" s="9">
        <v>11653825.38147074</v>
      </c>
      <c r="P58" s="9">
        <v>6169080.5097170286</v>
      </c>
      <c r="Q58" s="9">
        <v>144798.82359056565</v>
      </c>
      <c r="R58" s="9">
        <v>16545791.685298702</v>
      </c>
      <c r="S58" s="9">
        <v>6146738.6301853415</v>
      </c>
      <c r="T58" s="13">
        <f t="shared" si="1"/>
        <v>2.998999021798268</v>
      </c>
    </row>
    <row r="59" spans="1:20" ht="15.75" x14ac:dyDescent="0.25">
      <c r="A59" s="8">
        <f t="shared" si="2"/>
        <v>57</v>
      </c>
      <c r="B59" s="9">
        <v>-127677</v>
      </c>
      <c r="C59" s="9">
        <v>4905012</v>
      </c>
      <c r="D59" s="9">
        <v>20800746</v>
      </c>
      <c r="E59" s="9">
        <v>4805012</v>
      </c>
      <c r="F59" s="9">
        <v>463601</v>
      </c>
      <c r="G59" s="9">
        <v>20928423</v>
      </c>
      <c r="H59" s="9">
        <v>5554072</v>
      </c>
      <c r="I59" s="11">
        <f t="shared" si="0"/>
        <v>1.3651109221808679</v>
      </c>
      <c r="L59" s="8">
        <f t="shared" si="3"/>
        <v>57</v>
      </c>
      <c r="M59" s="9">
        <v>0</v>
      </c>
      <c r="N59" s="9">
        <v>5427121.8966541542</v>
      </c>
      <c r="O59" s="9">
        <v>11135066.036170911</v>
      </c>
      <c r="P59" s="9">
        <v>5949878.4135686494</v>
      </c>
      <c r="Q59" s="9">
        <v>465506.80212900159</v>
      </c>
      <c r="R59" s="9">
        <v>20846731.252297424</v>
      </c>
      <c r="S59" s="9">
        <v>6018331.1256235829</v>
      </c>
      <c r="T59" s="13">
        <f t="shared" si="1"/>
        <v>2.9990006260172888</v>
      </c>
    </row>
    <row r="60" spans="1:20" ht="15.75" x14ac:dyDescent="0.25">
      <c r="A60" s="8">
        <f t="shared" si="2"/>
        <v>58</v>
      </c>
      <c r="B60" s="9">
        <v>2649626</v>
      </c>
      <c r="C60" s="9">
        <v>5619720</v>
      </c>
      <c r="D60" s="9">
        <v>16789369</v>
      </c>
      <c r="E60" s="9">
        <v>5519720</v>
      </c>
      <c r="F60" s="9">
        <v>158010</v>
      </c>
      <c r="G60" s="9">
        <v>14139743</v>
      </c>
      <c r="H60" s="9">
        <v>5972295</v>
      </c>
      <c r="I60" s="11">
        <f t="shared" si="0"/>
        <v>2.1049708039981683</v>
      </c>
      <c r="L60" s="8">
        <f t="shared" si="3"/>
        <v>58</v>
      </c>
      <c r="M60" s="9">
        <v>2704240.5631620805</v>
      </c>
      <c r="N60" s="9">
        <v>5902282.6416330598</v>
      </c>
      <c r="O60" s="9">
        <v>12723464.790666362</v>
      </c>
      <c r="P60" s="9">
        <v>6171330.7484279051</v>
      </c>
      <c r="Q60" s="9">
        <v>158121.31738991197</v>
      </c>
      <c r="R60" s="9">
        <v>14129766.84812854</v>
      </c>
      <c r="S60" s="9">
        <v>6204765.4558528345</v>
      </c>
      <c r="T60" s="13">
        <f t="shared" si="1"/>
        <v>2.9989995500281545</v>
      </c>
    </row>
    <row r="61" spans="1:20" ht="15.75" x14ac:dyDescent="0.25">
      <c r="A61" s="8">
        <f t="shared" si="2"/>
        <v>59</v>
      </c>
      <c r="B61" s="9">
        <v>190510</v>
      </c>
      <c r="C61" s="9">
        <v>701461</v>
      </c>
      <c r="D61" s="9">
        <v>15147681</v>
      </c>
      <c r="E61" s="9">
        <v>601461</v>
      </c>
      <c r="F61" s="9">
        <v>117172</v>
      </c>
      <c r="G61" s="9">
        <v>14957171</v>
      </c>
      <c r="H61" s="9">
        <v>1071900</v>
      </c>
      <c r="I61" s="11">
        <f t="shared" si="0"/>
        <v>0.28634782144339632</v>
      </c>
      <c r="L61" s="8">
        <f t="shared" si="3"/>
        <v>59</v>
      </c>
      <c r="M61" s="9">
        <v>200656.21272835636</v>
      </c>
      <c r="N61" s="9">
        <v>861272.47420960327</v>
      </c>
      <c r="O61" s="16">
        <v>0</v>
      </c>
      <c r="P61" s="9">
        <v>880412.51542971167</v>
      </c>
      <c r="Q61" s="9">
        <v>119146.95285136542</v>
      </c>
      <c r="R61" s="9">
        <v>14704377.534749407</v>
      </c>
      <c r="S61" s="9">
        <v>1341209.9300372414</v>
      </c>
      <c r="T61" s="13" t="e">
        <f>Score_Altman(M61,N61,O61,P61,Q61,R61,S61)</f>
        <v>#VALUE!</v>
      </c>
    </row>
    <row r="62" spans="1:20" ht="15.75" x14ac:dyDescent="0.25">
      <c r="A62" s="8">
        <f t="shared" si="2"/>
        <v>60</v>
      </c>
      <c r="B62" s="9">
        <v>-7959666</v>
      </c>
      <c r="C62" s="9">
        <v>8159588</v>
      </c>
      <c r="D62" s="9">
        <v>12550453</v>
      </c>
      <c r="E62" s="9">
        <v>8059588</v>
      </c>
      <c r="F62" s="9">
        <v>448773</v>
      </c>
      <c r="G62" s="9">
        <v>20510119</v>
      </c>
      <c r="H62" s="9">
        <v>8465488</v>
      </c>
      <c r="I62" s="11">
        <f t="shared" si="0"/>
        <v>2.9552920128472153</v>
      </c>
      <c r="L62" s="8">
        <f t="shared" si="3"/>
        <v>60</v>
      </c>
      <c r="M62" s="9">
        <v>0</v>
      </c>
      <c r="N62" s="9">
        <v>7838273.1384894494</v>
      </c>
      <c r="O62" s="9">
        <v>14531198.279957008</v>
      </c>
      <c r="P62" s="9">
        <v>7334154.9102558792</v>
      </c>
      <c r="Q62" s="9">
        <v>448518.45310672675</v>
      </c>
      <c r="R62" s="9">
        <v>20521354.150950521</v>
      </c>
      <c r="S62" s="9">
        <v>8220402.8416102836</v>
      </c>
      <c r="T62" s="13">
        <f t="shared" si="1"/>
        <v>2.9989980315096276</v>
      </c>
    </row>
    <row r="63" spans="1:20" ht="15.75" x14ac:dyDescent="0.25">
      <c r="A63" s="8">
        <f t="shared" si="2"/>
        <v>61</v>
      </c>
      <c r="B63" s="9">
        <v>5220520</v>
      </c>
      <c r="C63" s="9">
        <v>3143929</v>
      </c>
      <c r="D63" s="9">
        <v>21746643</v>
      </c>
      <c r="E63" s="9">
        <v>3043929</v>
      </c>
      <c r="F63" s="9">
        <v>278393</v>
      </c>
      <c r="G63" s="9">
        <v>16526123</v>
      </c>
      <c r="H63" s="9">
        <v>4047922</v>
      </c>
      <c r="I63" s="11">
        <f t="shared" si="0"/>
        <v>1.1484423052098423</v>
      </c>
      <c r="L63" s="8">
        <f t="shared" si="3"/>
        <v>61</v>
      </c>
      <c r="M63" s="9">
        <v>5881652.9684095755</v>
      </c>
      <c r="N63" s="9">
        <v>3420092.6085503758</v>
      </c>
      <c r="O63" s="9">
        <v>9456233.4683727548</v>
      </c>
      <c r="P63" s="9">
        <v>3650988.4704846069</v>
      </c>
      <c r="Q63" s="9">
        <v>279544.17542207829</v>
      </c>
      <c r="R63" s="9">
        <v>16458509.301675944</v>
      </c>
      <c r="S63" s="9">
        <v>4372882.5182388332</v>
      </c>
      <c r="T63" s="13">
        <f t="shared" si="1"/>
        <v>2.9990009765155676</v>
      </c>
    </row>
    <row r="64" spans="1:20" ht="15.75" x14ac:dyDescent="0.25">
      <c r="A64" s="8">
        <f t="shared" si="2"/>
        <v>62</v>
      </c>
      <c r="B64" s="9">
        <v>-3704886</v>
      </c>
      <c r="C64" s="9">
        <v>7581114</v>
      </c>
      <c r="D64" s="9">
        <v>20640504</v>
      </c>
      <c r="E64" s="9">
        <v>7481114</v>
      </c>
      <c r="F64" s="9">
        <v>223073</v>
      </c>
      <c r="G64" s="9">
        <v>24345390</v>
      </c>
      <c r="H64" s="9">
        <v>7889934</v>
      </c>
      <c r="I64" s="11">
        <f t="shared" si="0"/>
        <v>1.8822647010704068</v>
      </c>
      <c r="L64" s="8">
        <f t="shared" si="3"/>
        <v>62</v>
      </c>
      <c r="M64" s="9">
        <v>0</v>
      </c>
      <c r="N64" s="9">
        <v>7992375.232669468</v>
      </c>
      <c r="O64" s="9">
        <v>15781048.880136479</v>
      </c>
      <c r="P64" s="9">
        <v>8437792.4666527882</v>
      </c>
      <c r="Q64" s="9">
        <v>223202.55555058832</v>
      </c>
      <c r="R64" s="9">
        <v>24331608.654045079</v>
      </c>
      <c r="S64" s="9">
        <v>8214674.4661093224</v>
      </c>
      <c r="T64" s="13">
        <f t="shared" si="1"/>
        <v>2.9989994681132912</v>
      </c>
    </row>
    <row r="65" spans="1:20" ht="15.75" x14ac:dyDescent="0.25">
      <c r="A65" s="8">
        <f t="shared" si="2"/>
        <v>63</v>
      </c>
      <c r="B65" s="9">
        <v>1331058</v>
      </c>
      <c r="C65" s="9">
        <v>5193889</v>
      </c>
      <c r="D65" s="9">
        <v>15605653</v>
      </c>
      <c r="E65" s="9">
        <v>5093889</v>
      </c>
      <c r="F65" s="9">
        <v>260482</v>
      </c>
      <c r="G65" s="9">
        <v>14274595</v>
      </c>
      <c r="H65" s="9">
        <v>5580003</v>
      </c>
      <c r="I65" s="11">
        <f t="shared" si="0"/>
        <v>2.0136186252210755</v>
      </c>
      <c r="L65" s="8">
        <f t="shared" si="3"/>
        <v>63</v>
      </c>
      <c r="M65" s="9">
        <v>1348065.7747064587</v>
      </c>
      <c r="N65" s="9">
        <v>5499592.0143825151</v>
      </c>
      <c r="O65" s="9">
        <v>11437982.866666513</v>
      </c>
      <c r="P65" s="9">
        <v>5769658.9654058693</v>
      </c>
      <c r="Q65" s="9">
        <v>260824.0160846074</v>
      </c>
      <c r="R65" s="9">
        <v>14255444.954981042</v>
      </c>
      <c r="S65" s="9">
        <v>5825802.2345706187</v>
      </c>
      <c r="T65" s="13">
        <f t="shared" si="1"/>
        <v>2.9990010719813713</v>
      </c>
    </row>
    <row r="66" spans="1:20" ht="15.75" x14ac:dyDescent="0.25">
      <c r="A66" s="8">
        <f t="shared" si="2"/>
        <v>64</v>
      </c>
      <c r="B66" s="9">
        <v>575770</v>
      </c>
      <c r="C66" s="9">
        <v>5416779</v>
      </c>
      <c r="D66" s="9">
        <v>15557689</v>
      </c>
      <c r="E66" s="9">
        <v>5316779</v>
      </c>
      <c r="F66" s="9">
        <v>406955</v>
      </c>
      <c r="G66" s="9">
        <v>14981919</v>
      </c>
      <c r="H66" s="9">
        <v>5874074</v>
      </c>
      <c r="I66" s="11">
        <f t="shared" si="0"/>
        <v>2.0531032620885483</v>
      </c>
      <c r="L66" s="8">
        <f t="shared" si="3"/>
        <v>64</v>
      </c>
      <c r="M66" s="9">
        <v>578732.39147477061</v>
      </c>
      <c r="N66" s="9">
        <v>5730770.768117439</v>
      </c>
      <c r="O66" s="9">
        <v>11633405.61988093</v>
      </c>
      <c r="P66" s="9">
        <v>6017205.7502551991</v>
      </c>
      <c r="Q66" s="9">
        <v>407708.35252711026</v>
      </c>
      <c r="R66" s="9">
        <v>14954084.990946544</v>
      </c>
      <c r="S66" s="9">
        <v>6130094.7537937118</v>
      </c>
      <c r="T66" s="13">
        <f t="shared" si="1"/>
        <v>2.9990019211231127</v>
      </c>
    </row>
  </sheetData>
  <mergeCells count="2">
    <mergeCell ref="A1:I1"/>
    <mergeCell ref="L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</vt:lpstr>
      <vt:lpstr>B</vt:lpstr>
      <vt:lpstr>C</vt:lpstr>
      <vt:lpstr>D</vt:lpstr>
      <vt:lpstr>E</vt:lpstr>
      <vt:lpstr>Heatmap</vt:lpstr>
      <vt:lpstr>Camembert</vt:lpstr>
      <vt:lpstr>Solveur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Abal Abbas</cp:lastModifiedBy>
  <dcterms:created xsi:type="dcterms:W3CDTF">2020-02-19T21:19:23Z</dcterms:created>
  <dcterms:modified xsi:type="dcterms:W3CDTF">2020-02-29T23:42:25Z</dcterms:modified>
</cp:coreProperties>
</file>